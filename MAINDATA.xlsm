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doy\OneDrive\Desktop\FaceRecognitionSystem\"/>
    </mc:Choice>
  </mc:AlternateContent>
  <xr:revisionPtr revIDLastSave="0" documentId="13_ncr:1_{255288DA-E6E6-42B5-B616-A802FC835561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combinedCSVs" sheetId="7" r:id="rId1"/>
    <sheet name="DATA" sheetId="3" r:id="rId2"/>
  </sheets>
  <functionGroups builtInGroupCount="19"/>
  <definedNames>
    <definedName name="ExternalData_1" localSheetId="0" hidden="1">combinedCSVs!$A$1:$G$64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8" i="3" l="1" a="1"/>
  <c r="K18" i="3" s="1"/>
  <c r="Y18" i="3" s="1"/>
  <c r="J18" i="3" a="1"/>
  <c r="J18" i="3" s="1"/>
  <c r="X18" i="3" s="1"/>
  <c r="I18" i="3" a="1"/>
  <c r="I18" i="3" s="1"/>
  <c r="W18" i="3" s="1"/>
  <c r="H18" i="3" a="1"/>
  <c r="H18" i="3" s="1"/>
  <c r="V18" i="3" s="1"/>
  <c r="K17" i="3" a="1"/>
  <c r="K17" i="3" s="1"/>
  <c r="Y17" i="3" s="1"/>
  <c r="J17" i="3" a="1"/>
  <c r="J17" i="3" s="1"/>
  <c r="X17" i="3" s="1"/>
  <c r="I17" i="3" a="1"/>
  <c r="I17" i="3" s="1"/>
  <c r="W17" i="3" s="1"/>
  <c r="H17" i="3" a="1"/>
  <c r="H17" i="3" s="1"/>
  <c r="V17" i="3" s="1"/>
  <c r="K16" i="3" a="1"/>
  <c r="K16" i="3" s="1"/>
  <c r="Y16" i="3" s="1"/>
  <c r="J16" i="3" a="1"/>
  <c r="J16" i="3" s="1"/>
  <c r="X16" i="3" s="1"/>
  <c r="I16" i="3" a="1"/>
  <c r="I16" i="3" s="1"/>
  <c r="W16" i="3" s="1"/>
  <c r="H16" i="3" a="1"/>
  <c r="H16" i="3" s="1"/>
  <c r="V16" i="3" s="1"/>
  <c r="K15" i="3" a="1"/>
  <c r="K15" i="3" s="1"/>
  <c r="Y15" i="3" s="1"/>
  <c r="J15" i="3" a="1"/>
  <c r="J15" i="3" s="1"/>
  <c r="X15" i="3" s="1"/>
  <c r="I15" i="3" a="1"/>
  <c r="I15" i="3" s="1"/>
  <c r="W15" i="3" s="1"/>
  <c r="H15" i="3" a="1"/>
  <c r="H15" i="3" s="1"/>
  <c r="V15" i="3" s="1"/>
  <c r="K14" i="3" a="1"/>
  <c r="K14" i="3" s="1"/>
  <c r="Y14" i="3" s="1"/>
  <c r="J14" i="3" a="1"/>
  <c r="J14" i="3" s="1"/>
  <c r="X14" i="3" s="1"/>
  <c r="I14" i="3" a="1"/>
  <c r="I14" i="3" s="1"/>
  <c r="W14" i="3" s="1"/>
  <c r="H14" i="3" a="1"/>
  <c r="H14" i="3" s="1"/>
  <c r="V14" i="3" s="1"/>
  <c r="K13" i="3" a="1"/>
  <c r="K13" i="3" s="1"/>
  <c r="Y13" i="3" s="1"/>
  <c r="J13" i="3" a="1"/>
  <c r="J13" i="3" s="1"/>
  <c r="X13" i="3" s="1"/>
  <c r="I13" i="3" a="1"/>
  <c r="I13" i="3" s="1"/>
  <c r="W13" i="3" s="1"/>
  <c r="H13" i="3" a="1"/>
  <c r="H13" i="3" s="1"/>
  <c r="V13" i="3" s="1"/>
  <c r="K12" i="3" a="1"/>
  <c r="K12" i="3" s="1"/>
  <c r="Y12" i="3" s="1"/>
  <c r="J12" i="3" a="1"/>
  <c r="J12" i="3" s="1"/>
  <c r="X12" i="3" s="1"/>
  <c r="I12" i="3" a="1"/>
  <c r="I12" i="3" s="1"/>
  <c r="W12" i="3" s="1"/>
  <c r="H12" i="3" a="1"/>
  <c r="H12" i="3" s="1"/>
  <c r="V12" i="3" s="1"/>
  <c r="K11" i="3" a="1"/>
  <c r="K11" i="3" s="1"/>
  <c r="Y11" i="3" s="1"/>
  <c r="J11" i="3" a="1"/>
  <c r="J11" i="3" s="1"/>
  <c r="X11" i="3" s="1"/>
  <c r="I11" i="3" a="1"/>
  <c r="I11" i="3" s="1"/>
  <c r="W11" i="3" s="1"/>
  <c r="H11" i="3" a="1"/>
  <c r="H11" i="3" s="1"/>
  <c r="V11" i="3" s="1"/>
  <c r="K10" i="3" a="1"/>
  <c r="K10" i="3" s="1"/>
  <c r="Y10" i="3" s="1"/>
  <c r="J10" i="3" a="1"/>
  <c r="J10" i="3" s="1"/>
  <c r="X10" i="3" s="1"/>
  <c r="I10" i="3" a="1"/>
  <c r="I10" i="3" s="1"/>
  <c r="W10" i="3" s="1"/>
  <c r="H10" i="3" a="1"/>
  <c r="H10" i="3" s="1"/>
  <c r="V10" i="3" s="1"/>
  <c r="K9" i="3" a="1"/>
  <c r="K9" i="3" s="1"/>
  <c r="Y9" i="3" s="1"/>
  <c r="J9" i="3" a="1"/>
  <c r="J9" i="3" s="1"/>
  <c r="X9" i="3" s="1"/>
  <c r="I9" i="3" a="1"/>
  <c r="I9" i="3" s="1"/>
  <c r="W9" i="3" s="1"/>
  <c r="H9" i="3" a="1"/>
  <c r="H9" i="3" s="1"/>
  <c r="V9" i="3" s="1"/>
  <c r="G18" i="3" a="1"/>
  <c r="G18" i="3" s="1"/>
  <c r="U18" i="3" s="1"/>
  <c r="F18" i="3" a="1"/>
  <c r="F18" i="3" s="1"/>
  <c r="T18" i="3" s="1"/>
  <c r="E18" i="3" a="1"/>
  <c r="E18" i="3" s="1"/>
  <c r="S18" i="3" s="1"/>
  <c r="D18" i="3" a="1"/>
  <c r="D18" i="3" s="1"/>
  <c r="R18" i="3" s="1"/>
  <c r="G17" i="3" a="1"/>
  <c r="G17" i="3" s="1"/>
  <c r="U17" i="3" s="1"/>
  <c r="F17" i="3" a="1"/>
  <c r="F17" i="3" s="1"/>
  <c r="T17" i="3" s="1"/>
  <c r="E17" i="3" a="1"/>
  <c r="E17" i="3" s="1"/>
  <c r="S17" i="3" s="1"/>
  <c r="D17" i="3" a="1"/>
  <c r="D17" i="3" s="1"/>
  <c r="R17" i="3" s="1"/>
  <c r="G16" i="3" a="1"/>
  <c r="G16" i="3" s="1"/>
  <c r="U16" i="3" s="1"/>
  <c r="F16" i="3" a="1"/>
  <c r="F16" i="3" s="1"/>
  <c r="T16" i="3" s="1"/>
  <c r="E16" i="3" a="1"/>
  <c r="E16" i="3" s="1"/>
  <c r="S16" i="3" s="1"/>
  <c r="D16" i="3" a="1"/>
  <c r="D16" i="3" s="1"/>
  <c r="R16" i="3" s="1"/>
  <c r="G15" i="3" a="1"/>
  <c r="G15" i="3" s="1"/>
  <c r="U15" i="3" s="1"/>
  <c r="F15" i="3" a="1"/>
  <c r="F15" i="3" s="1"/>
  <c r="T15" i="3" s="1"/>
  <c r="E15" i="3" a="1"/>
  <c r="E15" i="3" s="1"/>
  <c r="S15" i="3" s="1"/>
  <c r="D15" i="3" a="1"/>
  <c r="D15" i="3" s="1"/>
  <c r="R15" i="3" s="1"/>
  <c r="G14" i="3" a="1"/>
  <c r="G14" i="3" s="1"/>
  <c r="U14" i="3" s="1"/>
  <c r="F14" i="3" a="1"/>
  <c r="F14" i="3" s="1"/>
  <c r="T14" i="3" s="1"/>
  <c r="E14" i="3" a="1"/>
  <c r="E14" i="3" s="1"/>
  <c r="S14" i="3" s="1"/>
  <c r="D14" i="3" a="1"/>
  <c r="D14" i="3" s="1"/>
  <c r="R14" i="3" s="1"/>
  <c r="G13" i="3" a="1"/>
  <c r="G13" i="3" s="1"/>
  <c r="U13" i="3" s="1"/>
  <c r="F13" i="3" a="1"/>
  <c r="F13" i="3" s="1"/>
  <c r="T13" i="3" s="1"/>
  <c r="E13" i="3" a="1"/>
  <c r="E13" i="3" s="1"/>
  <c r="S13" i="3" s="1"/>
  <c r="D13" i="3" a="1"/>
  <c r="D13" i="3" s="1"/>
  <c r="R13" i="3" s="1"/>
  <c r="G12" i="3" a="1"/>
  <c r="G12" i="3" s="1"/>
  <c r="U12" i="3" s="1"/>
  <c r="F12" i="3" a="1"/>
  <c r="F12" i="3" s="1"/>
  <c r="T12" i="3" s="1"/>
  <c r="E12" i="3" a="1"/>
  <c r="E12" i="3" s="1"/>
  <c r="S12" i="3" s="1"/>
  <c r="D12" i="3" a="1"/>
  <c r="D12" i="3" s="1"/>
  <c r="R12" i="3" s="1"/>
  <c r="G11" i="3" a="1"/>
  <c r="G11" i="3" s="1"/>
  <c r="U11" i="3" s="1"/>
  <c r="F11" i="3" a="1"/>
  <c r="F11" i="3" s="1"/>
  <c r="T11" i="3" s="1"/>
  <c r="E11" i="3" a="1"/>
  <c r="E11" i="3" s="1"/>
  <c r="S11" i="3" s="1"/>
  <c r="D11" i="3" a="1"/>
  <c r="D11" i="3" s="1"/>
  <c r="R11" i="3" s="1"/>
  <c r="G10" i="3" a="1"/>
  <c r="G10" i="3" s="1"/>
  <c r="U10" i="3" s="1"/>
  <c r="F10" i="3" a="1"/>
  <c r="F10" i="3" s="1"/>
  <c r="T10" i="3" s="1"/>
  <c r="E10" i="3" a="1"/>
  <c r="E10" i="3" s="1"/>
  <c r="S10" i="3" s="1"/>
  <c r="D10" i="3" a="1"/>
  <c r="D10" i="3" s="1"/>
  <c r="R10" i="3" s="1"/>
  <c r="G9" i="3" a="1"/>
  <c r="G9" i="3" s="1"/>
  <c r="U9" i="3" s="1"/>
  <c r="F9" i="3" a="1"/>
  <c r="F9" i="3" s="1"/>
  <c r="T9" i="3" s="1"/>
  <c r="E9" i="3" a="1"/>
  <c r="E9" i="3" s="1"/>
  <c r="S9" i="3" s="1"/>
  <c r="D9" i="3" a="1"/>
  <c r="D9" i="3" s="1"/>
  <c r="R9" i="3" s="1"/>
  <c r="L9" i="3" l="1"/>
  <c r="L13" i="3"/>
  <c r="L17" i="3"/>
  <c r="L10" i="3"/>
  <c r="L14" i="3"/>
  <c r="L18" i="3"/>
  <c r="L11" i="3"/>
  <c r="L15" i="3"/>
  <c r="L12" i="3"/>
  <c r="L16" i="3"/>
  <c r="M13" i="3"/>
  <c r="M17" i="3"/>
  <c r="M9" i="3"/>
  <c r="M18" i="3"/>
  <c r="M10" i="3"/>
  <c r="M11" i="3"/>
  <c r="M15" i="3"/>
  <c r="M12" i="3"/>
  <c r="M16" i="3"/>
  <c r="M14" i="3"/>
  <c r="N16" i="3" l="1"/>
  <c r="N12" i="3"/>
  <c r="P12" i="3" s="1"/>
  <c r="N15" i="3"/>
  <c r="P15" i="3" s="1"/>
  <c r="N11" i="3"/>
  <c r="P11" i="3" s="1"/>
  <c r="N18" i="3"/>
  <c r="P18" i="3" s="1"/>
  <c r="N14" i="3"/>
  <c r="P14" i="3" s="1"/>
  <c r="N10" i="3"/>
  <c r="P10" i="3" s="1"/>
  <c r="P16" i="3"/>
  <c r="N17" i="3"/>
  <c r="P17" i="3" s="1"/>
  <c r="N13" i="3"/>
  <c r="P13" i="3" s="1"/>
  <c r="N9" i="3"/>
  <c r="P9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82F5AE-EB6F-4D9E-B2BE-329CC9C4A241}" keepAlive="1" name="Query - combinedCSVs (2)" description="Connection to the 'combinedCSVs (2)' query in the workbook." type="5" refreshedVersion="7" background="1" saveData="1">
    <dbPr connection="Provider=Microsoft.Mashup.OleDb.1;Data Source=$Workbook$;Location=&quot;combinedCSVs (2)&quot;;Extended Properties=&quot;&quot;" command="SELECT * FROM [combinedCSVs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<sst xmlns="http://schemas.openxmlformats.org/spreadsheetml/2006/main" count="372" uniqueCount="53">
  <si>
    <t>Andre Matthew Vaquilar</t>
  </si>
  <si>
    <t>AM TIME-IN</t>
  </si>
  <si>
    <t>Mar Lou Galinato</t>
  </si>
  <si>
    <t>AM TIME-OUT</t>
  </si>
  <si>
    <t>PM TIME-IN</t>
  </si>
  <si>
    <t>PM TIME-OUT</t>
  </si>
  <si>
    <t>_x001A_</t>
  </si>
  <si>
    <t/>
  </si>
  <si>
    <t>Column1</t>
  </si>
  <si>
    <t>Column2</t>
  </si>
  <si>
    <t>Column3</t>
  </si>
  <si>
    <t>Column4</t>
  </si>
  <si>
    <t>Column5</t>
  </si>
  <si>
    <t>Column6</t>
  </si>
  <si>
    <t>Column7</t>
  </si>
  <si>
    <t>NUMBER OF ABSENCES</t>
  </si>
  <si>
    <t>FINES</t>
  </si>
  <si>
    <t>4</t>
  </si>
  <si>
    <t>Engineering</t>
  </si>
  <si>
    <t>2</t>
  </si>
  <si>
    <t>Jerwin D. Jamon</t>
  </si>
  <si>
    <t>Technology</t>
  </si>
  <si>
    <t>1</t>
  </si>
  <si>
    <t>8</t>
  </si>
  <si>
    <t>Allen Brian Balansag</t>
  </si>
  <si>
    <t>10</t>
  </si>
  <si>
    <t xml:space="preserve">Wendy Claire </t>
  </si>
  <si>
    <t>9</t>
  </si>
  <si>
    <t>Shairah Jane</t>
  </si>
  <si>
    <t>6</t>
  </si>
  <si>
    <t>Maricar Algabre</t>
  </si>
  <si>
    <t>7</t>
  </si>
  <si>
    <t>Joshua Edward Montecillo</t>
  </si>
  <si>
    <t>3</t>
  </si>
  <si>
    <t>Joshua Jay Javier</t>
  </si>
  <si>
    <t>5</t>
  </si>
  <si>
    <t>Queenie castillanes</t>
  </si>
  <si>
    <t>08/05/2024</t>
  </si>
  <si>
    <t>09/05/2024</t>
  </si>
  <si>
    <t>NAME</t>
  </si>
  <si>
    <t>BALANCE</t>
  </si>
  <si>
    <t>PAYMENTS MADE</t>
  </si>
  <si>
    <t>NUMBER OF LATES</t>
  </si>
  <si>
    <t>Column8</t>
  </si>
  <si>
    <t>Column9</t>
  </si>
  <si>
    <t>Column10</t>
  </si>
  <si>
    <t>Column11</t>
  </si>
  <si>
    <t>Column12</t>
  </si>
  <si>
    <t>Column13</t>
  </si>
  <si>
    <t>Column14</t>
  </si>
  <si>
    <t>CUT-OFF TIME &gt;&gt;&gt;</t>
  </si>
  <si>
    <t>LATE FINE:</t>
  </si>
  <si>
    <t>ABSENT FINE: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</si>
</sst>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₱&quot;* #,##0.00_-;\-&quot;₱&quot;* #,##0.00_-;_-&quot;₱&quot;* &quot;-&quot;??_-;_-@_-"/>
    <numFmt numFmtId="43" formatCode="_-* #,##0.00_-;\-* #,##0.00_-;_-* &quot;-&quot;??_-;_-@_-"/>
    <numFmt numFmtId="164" formatCode="[$-409]hh:mm:ss\ AM/PM;@"/>
    <numFmt numFmtId="168" formatCode="[$-409]hh:mm:ss\ am/pm;@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theme="3" tint="0.499984740745262"/>
      <name val="Aptos Narrow"/>
      <family val="2"/>
      <scheme val="minor"/>
    </font>
    <font>
      <sz val="11"/>
      <color theme="6" tint="0.39997558519241921"/>
      <name val="Aptos Narrow"/>
      <family val="2"/>
      <scheme val="minor"/>
    </font>
    <font>
      <sz val="11"/>
      <color theme="4" tint="0.39997558519241921"/>
      <name val="Aptos Narrow"/>
      <family val="2"/>
      <scheme val="minor"/>
    </font>
    <font>
      <sz val="11"/>
      <color theme="8" tint="0.3999755851924192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sz val="11"/>
      <color theme="5" tint="0.59999389629810485"/>
      <name val="Aptos Narrow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0" fontId="0" fillId="34" borderId="0" xfId="0" applyFill="1" applyAlignment="1">
      <alignment horizontal="center"/>
    </xf>
    <xf numFmtId="44" fontId="0" fillId="35" borderId="0" xfId="0" applyNumberFormat="1" applyFill="1" applyAlignment="1">
      <alignment horizontal="center"/>
    </xf>
    <xf numFmtId="164" fontId="0" fillId="0" borderId="0" xfId="0" applyNumberFormat="1"/>
    <xf numFmtId="49" fontId="0" fillId="0" borderId="0" xfId="0" applyNumberFormat="1"/>
    <xf numFmtId="164" fontId="0" fillId="37" borderId="0" xfId="0" applyNumberFormat="1" applyFill="1" applyAlignment="1">
      <alignment horizontal="center"/>
    </xf>
    <xf numFmtId="164" fontId="0" fillId="36" borderId="0" xfId="0" applyNumberFormat="1" applyFill="1" applyAlignment="1">
      <alignment horizontal="center"/>
    </xf>
    <xf numFmtId="0" fontId="0" fillId="34" borderId="0" xfId="0" applyFill="1" applyBorder="1" applyAlignment="1">
      <alignment horizontal="center" wrapText="1"/>
    </xf>
    <xf numFmtId="0" fontId="0" fillId="38" borderId="0" xfId="0" applyFill="1" applyAlignment="1">
      <alignment horizontal="left" indent="1"/>
    </xf>
    <xf numFmtId="0" fontId="0" fillId="0" borderId="0" xfId="0" applyAlignment="1">
      <alignment horizontal="left" indent="1"/>
    </xf>
    <xf numFmtId="0" fontId="0" fillId="36" borderId="0" xfId="0" applyFill="1" applyBorder="1" applyAlignment="1">
      <alignment horizontal="center"/>
    </xf>
    <xf numFmtId="0" fontId="0" fillId="38" borderId="0" xfId="0" applyFill="1" applyBorder="1" applyAlignment="1">
      <alignment horizontal="left" indent="1"/>
    </xf>
    <xf numFmtId="49" fontId="0" fillId="37" borderId="0" xfId="0" applyNumberFormat="1" applyFill="1" applyBorder="1" applyAlignment="1">
      <alignment horizontal="center"/>
    </xf>
    <xf numFmtId="49" fontId="0" fillId="36" borderId="0" xfId="0" applyNumberFormat="1" applyFill="1" applyBorder="1" applyAlignment="1">
      <alignment horizontal="center"/>
    </xf>
    <xf numFmtId="44" fontId="0" fillId="35" borderId="0" xfId="0" applyNumberFormat="1" applyFill="1" applyBorder="1" applyAlignment="1">
      <alignment horizontal="center"/>
    </xf>
    <xf numFmtId="44" fontId="0" fillId="39" borderId="0" xfId="0" applyNumberFormat="1" applyFill="1"/>
    <xf numFmtId="44" fontId="0" fillId="33" borderId="0" xfId="0" applyNumberFormat="1" applyFill="1"/>
    <xf numFmtId="0" fontId="0" fillId="39" borderId="0" xfId="0" applyFill="1" applyBorder="1" applyAlignment="1">
      <alignment horizontal="center" wrapText="1"/>
    </xf>
    <xf numFmtId="0" fontId="0" fillId="33" borderId="0" xfId="0" applyFill="1" applyBorder="1" applyAlignment="1">
      <alignment horizontal="center"/>
    </xf>
    <xf numFmtId="168" fontId="0" fillId="0" borderId="0" xfId="0" applyNumberFormat="1" applyAlignment="1">
      <alignment horizontal="center"/>
    </xf>
    <xf numFmtId="49" fontId="0" fillId="37" borderId="0" xfId="0" applyNumberFormat="1" applyFill="1" applyBorder="1" applyAlignment="1">
      <alignment horizontal="center" wrapText="1"/>
    </xf>
    <xf numFmtId="0" fontId="0" fillId="37" borderId="0" xfId="0" applyNumberFormat="1" applyFill="1" applyAlignment="1">
      <alignment horizontal="center"/>
    </xf>
    <xf numFmtId="0" fontId="14" fillId="0" borderId="0" xfId="0" applyFont="1" applyAlignment="1">
      <alignment horizontal="center"/>
    </xf>
    <xf numFmtId="0" fontId="0" fillId="37" borderId="0" xfId="0" applyFill="1" applyBorder="1" applyAlignment="1">
      <alignment horizontal="center"/>
    </xf>
    <xf numFmtId="0" fontId="0" fillId="37" borderId="0" xfId="0" applyFill="1" applyAlignment="1">
      <alignment horizontal="right" indent="1"/>
    </xf>
    <xf numFmtId="168" fontId="0" fillId="37" borderId="13" xfId="0" applyNumberFormat="1" applyFill="1" applyBorder="1" applyAlignment="1">
      <alignment horizontal="center"/>
    </xf>
    <xf numFmtId="168" fontId="0" fillId="37" borderId="14" xfId="0" applyNumberFormat="1" applyFill="1" applyBorder="1" applyAlignment="1">
      <alignment horizontal="center"/>
    </xf>
    <xf numFmtId="168" fontId="0" fillId="37" borderId="15" xfId="0" applyNumberFormat="1" applyFill="1" applyBorder="1" applyAlignment="1">
      <alignment horizontal="center"/>
    </xf>
    <xf numFmtId="0" fontId="0" fillId="34" borderId="16" xfId="0" applyFill="1" applyBorder="1" applyAlignment="1">
      <alignment horizontal="left" indent="1"/>
    </xf>
    <xf numFmtId="0" fontId="0" fillId="34" borderId="10" xfId="0" applyFill="1" applyBorder="1" applyAlignment="1">
      <alignment horizontal="center"/>
    </xf>
    <xf numFmtId="0" fontId="0" fillId="34" borderId="11" xfId="0" applyFill="1" applyBorder="1" applyAlignment="1">
      <alignment horizontal="center"/>
    </xf>
    <xf numFmtId="0" fontId="0" fillId="34" borderId="12" xfId="0" applyFill="1" applyBorder="1" applyAlignment="1">
      <alignment horizontal="center"/>
    </xf>
    <xf numFmtId="0" fontId="0" fillId="34" borderId="10" xfId="0" applyFill="1" applyBorder="1" applyAlignment="1">
      <alignment horizontal="right"/>
    </xf>
    <xf numFmtId="43" fontId="0" fillId="34" borderId="12" xfId="42" applyFont="1" applyFill="1" applyBorder="1" applyAlignment="1">
      <alignment horizontal="center"/>
    </xf>
    <xf numFmtId="0" fontId="0" fillId="37" borderId="13" xfId="0" applyFill="1" applyBorder="1" applyAlignment="1">
      <alignment horizontal="right"/>
    </xf>
    <xf numFmtId="43" fontId="0" fillId="37" borderId="15" xfId="42" applyFont="1" applyFill="1" applyBorder="1" applyAlignment="1">
      <alignment horizontal="center"/>
    </xf>
    <xf numFmtId="0" fontId="19" fillId="38" borderId="0" xfId="0" applyFont="1" applyFill="1" applyBorder="1" applyAlignment="1">
      <alignment horizontal="left" indent="1"/>
    </xf>
    <xf numFmtId="0" fontId="20" fillId="37" borderId="0" xfId="0" applyFont="1" applyFill="1" applyBorder="1" applyAlignment="1">
      <alignment horizontal="center"/>
    </xf>
    <xf numFmtId="0" fontId="21" fillId="36" borderId="0" xfId="0" applyFont="1" applyFill="1" applyBorder="1" applyAlignment="1">
      <alignment horizontal="center"/>
    </xf>
    <xf numFmtId="49" fontId="22" fillId="37" borderId="0" xfId="0" applyNumberFormat="1" applyFont="1" applyFill="1" applyBorder="1" applyAlignment="1">
      <alignment horizontal="center" wrapText="1"/>
    </xf>
    <xf numFmtId="0" fontId="23" fillId="34" borderId="0" xfId="0" applyFont="1" applyFill="1" applyBorder="1" applyAlignment="1">
      <alignment horizontal="center" wrapText="1"/>
    </xf>
    <xf numFmtId="44" fontId="24" fillId="35" borderId="0" xfId="0" applyNumberFormat="1" applyFont="1" applyFill="1" applyBorder="1" applyAlignment="1">
      <alignment horizontal="center"/>
    </xf>
    <xf numFmtId="0" fontId="25" fillId="39" borderId="0" xfId="0" applyFont="1" applyFill="1" applyBorder="1" applyAlignment="1">
      <alignment horizontal="center" wrapText="1"/>
    </xf>
    <xf numFmtId="0" fontId="21" fillId="33" borderId="0" xfId="0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7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34" formatCode="_-&quot;₱&quot;* #,##0.00_-;\-&quot;₱&quot;* #,##0.00_-;_-&quot;₱&quot;* &quot;-&quot;??_-;_-@_-"/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49992370372631"/>
        </patternFill>
      </fill>
      <alignment horizontal="center" vertical="bottom" textRotation="0" wrapText="0" indent="0" justifyLastLine="0" shrinkToFit="0" readingOrder="0"/>
    </dxf>
    <dxf>
      <numFmt numFmtId="34" formatCode="_-&quot;₱&quot;* #,##0.00_-;\-&quot;₱&quot;* #,##0.00_-;_-&quot;₱&quot;* &quot;-&quot;??_-;_-@_-"/>
      <fill>
        <patternFill patternType="solid">
          <fgColor indexed="64"/>
          <bgColor theme="9" tint="0.39997558519241921"/>
        </patternFill>
      </fill>
    </dxf>
    <dxf>
      <numFmt numFmtId="34" formatCode="_-&quot;₱&quot;* #,##0.00_-;\-&quot;₱&quot;* #,##0.00_-;_-&quot;₱&quot;* &quot;-&quot;??_-;_-@_-"/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8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[$-409]hh:mm:ss\ AM/PM;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[$-409]hh:mm:ss\ AM/PM;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[$-409]hh:mm:ss\ AM/PM;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[$-409]hh:mm:ss\ AM/PM;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[$-409]hh:mm:ss\ AM/PM;@"/>
      <fill>
        <patternFill patternType="solid">
          <fgColor indexed="64"/>
          <bgColor theme="3" tint="0.749992370372631"/>
        </patternFill>
      </fill>
      <alignment horizontal="center" vertical="bottom" textRotation="0" wrapText="0" indent="0" justifyLastLine="0" shrinkToFit="0" readingOrder="0"/>
    </dxf>
    <dxf>
      <numFmt numFmtId="164" formatCode="[$-409]hh:mm:ss\ AM/PM;@"/>
      <fill>
        <patternFill patternType="solid">
          <fgColor indexed="64"/>
          <bgColor theme="3" tint="0.749992370372631"/>
        </patternFill>
      </fill>
      <alignment horizontal="center" vertical="bottom" textRotation="0" wrapText="0" indent="0" justifyLastLine="0" shrinkToFit="0" readingOrder="0"/>
    </dxf>
    <dxf>
      <numFmt numFmtId="164" formatCode="[$-409]hh:mm:ss\ AM/PM;@"/>
      <fill>
        <patternFill patternType="solid">
          <fgColor indexed="64"/>
          <bgColor theme="3" tint="0.749992370372631"/>
        </patternFill>
      </fill>
      <alignment horizontal="center" vertical="bottom" textRotation="0" wrapText="0" indent="0" justifyLastLine="0" shrinkToFit="0" readingOrder="0"/>
    </dxf>
    <dxf>
      <numFmt numFmtId="164" formatCode="[$-409]hh:mm:ss\ AM/PM;@"/>
      <fill>
        <patternFill patternType="solid">
          <fgColor indexed="64"/>
          <bgColor theme="3" tint="0.74999237037263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  <alignment horizontal="left" vertical="bottom" textRotation="0" wrapText="0" indent="1" justifyLastLine="0" shrinkToFit="0" readingOrder="0"/>
    </dxf>
    <dxf>
      <border outline="0">
        <top style="thick">
          <color auto="1"/>
        </top>
      </border>
    </dxf>
    <dxf>
      <font>
        <color theme="7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30" formatCode="@"/>
    </dxf>
    <dxf>
      <numFmt numFmtId="164" formatCode="[$-409]hh:mm:ss\ AM/PM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87E301D-C492-4166-A788-F5F07814BED6}" autoFormatId="16" applyNumberFormats="0" applyBorderFormats="0" applyFontFormats="0" applyPatternFormats="0" applyAlignmentFormats="0" applyWidthHeightFormats="0">
  <queryTableRefresh nextId="8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93F877-021B-479D-81A3-5A159C6F91E7}" name="tblCombinedCSVs" displayName="tblCombinedCSVs" ref="A1:G64" tableType="queryTable" totalsRowShown="0">
  <autoFilter ref="A1:G64" xr:uid="{B993F877-021B-479D-81A3-5A159C6F91E7}"/>
  <tableColumns count="7">
    <tableColumn id="1" xr3:uid="{37556000-6E1F-440A-A56A-AFC61E0EF06C}" uniqueName="1" name="Column1" queryTableFieldId="1" dataDxfId="46"/>
    <tableColumn id="2" xr3:uid="{4067437D-4233-4AA0-9BDD-30BD81CFB1FF}" uniqueName="2" name="Column2" queryTableFieldId="2"/>
    <tableColumn id="3" xr3:uid="{BA9CD302-ACD4-481C-8BF7-91A1660F50F0}" uniqueName="3" name="Column3" queryTableFieldId="3" dataDxfId="45"/>
    <tableColumn id="4" xr3:uid="{9DFD7996-C490-48AE-8BDF-2C0D73424CD5}" uniqueName="4" name="Column4" queryTableFieldId="4" dataDxfId="44"/>
    <tableColumn id="5" xr3:uid="{331320B1-CADF-4345-8031-D808CAB51B04}" uniqueName="5" name="Column5" queryTableFieldId="5" dataDxfId="42"/>
    <tableColumn id="6" xr3:uid="{8CD50C04-48BE-45CE-8046-E46705737391}" uniqueName="6" name="Column6" queryTableFieldId="6" dataDxfId="41"/>
    <tableColumn id="7" xr3:uid="{61C1B84D-A6D4-4940-A963-3696164C70BE}" uniqueName="7" name="Column7" queryTableFieldId="7" dataDxfId="4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293C51-1DC3-4936-B80D-A1C71598785F}" name="Table2" displayName="Table2" ref="C8:P18" totalsRowShown="0" tableBorderDxfId="31">
  <autoFilter ref="C8:P18" xr:uid="{DC293C51-1DC3-4936-B80D-A1C71598785F}"/>
  <tableColumns count="14">
    <tableColumn id="1" xr3:uid="{34B7BF7B-DC36-4ED7-B345-3D866FD80694}" name="Column1" dataDxfId="30"/>
    <tableColumn id="2" xr3:uid="{C5D90DE6-7E63-46F2-AA02-F6F2EE3D8171}" name="Column2" dataDxfId="29">
      <calculatedColumnFormula array="1">IFERROR(_xlfn._xlws.FILTER(tblCombinedCSVs[Column5],(tblCombinedCSVs[Column3]=$C9)*(tblCombinedCSVs[Column7]=D$7)*(tblCombinedCSVs[Column6]=$D$6)),"ABSENT")</calculatedColumnFormula>
    </tableColumn>
    <tableColumn id="3" xr3:uid="{16894053-AB99-48D4-9BB6-95BCB00BEE27}" name="Column3" dataDxfId="28">
      <calculatedColumnFormula array="1">IFERROR(_xlfn._xlws.FILTER(tblCombinedCSVs[Column5],(tblCombinedCSVs[Column3]=$C9)*(tblCombinedCSVs[Column7]=E$7)*(tblCombinedCSVs[Column6]=$D$6)),"ABSENT")</calculatedColumnFormula>
    </tableColumn>
    <tableColumn id="4" xr3:uid="{6F7DE6AE-8F08-47B1-A20C-FAA5B7CBEDEB}" name="Column4" dataDxfId="27">
      <calculatedColumnFormula array="1">IFERROR(_xlfn._xlws.FILTER(tblCombinedCSVs[Column5],(tblCombinedCSVs[Column3]=$C9)*(tblCombinedCSVs[Column7]=F$7)*(tblCombinedCSVs[Column6]=$D$6)),"ABSENT")</calculatedColumnFormula>
    </tableColumn>
    <tableColumn id="5" xr3:uid="{D9E328C0-131C-421D-A548-FA49F526A035}" name="Column5" dataDxfId="26">
      <calculatedColumnFormula array="1">IFERROR(_xlfn._xlws.FILTER(tblCombinedCSVs[Column5],(tblCombinedCSVs[Column3]=$C9)*(tblCombinedCSVs[Column7]=G$7)*(tblCombinedCSVs[Column6]=$D$6)),"ABSENT")</calculatedColumnFormula>
    </tableColumn>
    <tableColumn id="6" xr3:uid="{96DB74C2-D016-47F9-8F6A-CC3F2B11F256}" name="Column6" dataDxfId="25">
      <calculatedColumnFormula array="1">IFERROR(_xlfn._xlws.FILTER(tblCombinedCSVs[Column5],(tblCombinedCSVs[Column3]=$C9)*(tblCombinedCSVs[Column7]=H$7)*(tblCombinedCSVs[Column6]="09/05/2024")),"ABSENT")</calculatedColumnFormula>
    </tableColumn>
    <tableColumn id="7" xr3:uid="{030F5CB8-6D37-4796-8101-25DCE09EC79A}" name="Column7" dataDxfId="24">
      <calculatedColumnFormula array="1">IFERROR(_xlfn._xlws.FILTER(tblCombinedCSVs[Column5],(tblCombinedCSVs[Column3]=$C9)*(tblCombinedCSVs[Column7]=I$7)*(tblCombinedCSVs[Column6]="09/05/2024")),"ABSENT")</calculatedColumnFormula>
    </tableColumn>
    <tableColumn id="8" xr3:uid="{DC411CB3-E74B-46C3-8952-D426EFA9F6FC}" name="Column8" dataDxfId="23">
      <calculatedColumnFormula array="1">IFERROR(_xlfn._xlws.FILTER(tblCombinedCSVs[Column5],(tblCombinedCSVs[Column3]=$C9)*(tblCombinedCSVs[Column7]=J$7)*(tblCombinedCSVs[Column6]="09/05/2024")),"ABSENT")</calculatedColumnFormula>
    </tableColumn>
    <tableColumn id="9" xr3:uid="{158CBEC6-5A8C-4FDA-8D61-328B7AAE9703}" name="Column9" dataDxfId="22">
      <calculatedColumnFormula array="1">IFERROR(_xlfn._xlws.FILTER(tblCombinedCSVs[Column5],(tblCombinedCSVs[Column3]=$C9)*(tblCombinedCSVs[Column7]=K$7)*(tblCombinedCSVs[Column6]="09/05/2024")),"ABSENT")</calculatedColumnFormula>
    </tableColumn>
    <tableColumn id="10" xr3:uid="{49A19CBC-334C-458E-BDFA-5082A9F4516F}" name="Column10" dataDxfId="18">
      <calculatedColumnFormula>SUM(R9:Y9)</calculatedColumnFormula>
    </tableColumn>
    <tableColumn id="11" xr3:uid="{4A8E603C-CEC3-4355-816E-2A858EA877E1}" name="Column11" dataDxfId="21">
      <calculatedColumnFormula>COUNTIF(D9:K9,"ABSENT")</calculatedColumnFormula>
    </tableColumn>
    <tableColumn id="12" xr3:uid="{CE36C7F8-4577-4CE2-8922-E16E16716B43}" name="Column12" dataDxfId="17">
      <calculatedColumnFormula>SUM(PRODUCT(Table2[[#This Row],[Column10]],$N$3),PRODUCT(Table2[[#This Row],[Column11]],$N$4))</calculatedColumnFormula>
    </tableColumn>
    <tableColumn id="13" xr3:uid="{A2F79F97-EC9E-4700-A879-7CF22E981C00}" name="Column13" dataDxfId="20"/>
    <tableColumn id="14" xr3:uid="{2923933F-AA58-4B44-9649-618AD5F297D3}" name="Column14" dataDxfId="19">
      <calculatedColumnFormula>N9-O9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1B602-BBFA-4067-B8B1-B25CABAB6D52}">
  <sheetPr codeName="Sheet1"/>
  <dimension ref="A1:G64"/>
  <sheetViews>
    <sheetView workbookViewId="0">
      <selection activeCell="N19" sqref="N19"/>
    </sheetView>
  </sheetViews>
  <sheetFormatPr defaultRowHeight="14.25"/>
  <cols>
    <col min="1" max="2" width="10.625" bestFit="1" customWidth="1"/>
    <col min="3" max="3" width="22.375" bestFit="1" customWidth="1"/>
    <col min="4" max="4" width="10.625" bestFit="1" customWidth="1"/>
    <col min="5" max="5" width="11" style="5" bestFit="1" customWidth="1"/>
    <col min="6" max="6" width="12.25" style="6" customWidth="1"/>
    <col min="7" max="7" width="12.625" bestFit="1" customWidth="1"/>
  </cols>
  <sheetData>
    <row r="1" spans="1:7">
      <c r="A1" t="s">
        <v>8</v>
      </c>
      <c r="B1" t="s">
        <v>9</v>
      </c>
      <c r="C1" t="s">
        <v>10</v>
      </c>
      <c r="D1" t="s">
        <v>11</v>
      </c>
      <c r="E1" s="5" t="s">
        <v>12</v>
      </c>
      <c r="F1" s="6" t="s">
        <v>13</v>
      </c>
      <c r="G1" t="s">
        <v>14</v>
      </c>
    </row>
    <row r="2" spans="1:7">
      <c r="A2" t="s">
        <v>17</v>
      </c>
      <c r="B2">
        <v>2020081</v>
      </c>
      <c r="C2" t="s">
        <v>2</v>
      </c>
      <c r="D2" t="s">
        <v>18</v>
      </c>
      <c r="E2" s="5">
        <v>0.31875000000000003</v>
      </c>
      <c r="F2" s="6" t="s">
        <v>37</v>
      </c>
      <c r="G2" t="s">
        <v>1</v>
      </c>
    </row>
    <row r="3" spans="1:7">
      <c r="A3" t="s">
        <v>19</v>
      </c>
      <c r="B3">
        <v>2022313</v>
      </c>
      <c r="C3" t="s">
        <v>20</v>
      </c>
      <c r="D3" t="s">
        <v>21</v>
      </c>
      <c r="E3" s="5">
        <v>0.3125</v>
      </c>
      <c r="F3" s="6" t="s">
        <v>37</v>
      </c>
      <c r="G3" t="s">
        <v>1</v>
      </c>
    </row>
    <row r="4" spans="1:7">
      <c r="A4" t="s">
        <v>22</v>
      </c>
      <c r="B4">
        <v>2020091</v>
      </c>
      <c r="C4" t="s">
        <v>0</v>
      </c>
      <c r="D4" t="s">
        <v>21</v>
      </c>
      <c r="E4" s="5">
        <v>0.35416666666666669</v>
      </c>
      <c r="F4" s="6" t="s">
        <v>37</v>
      </c>
      <c r="G4" t="s">
        <v>1</v>
      </c>
    </row>
    <row r="5" spans="1:7">
      <c r="A5" t="s">
        <v>23</v>
      </c>
      <c r="B5">
        <v>2020008</v>
      </c>
      <c r="C5" t="s">
        <v>24</v>
      </c>
      <c r="D5" t="s">
        <v>21</v>
      </c>
      <c r="E5" s="5">
        <v>0.3125</v>
      </c>
      <c r="F5" s="6" t="s">
        <v>37</v>
      </c>
      <c r="G5" t="s">
        <v>1</v>
      </c>
    </row>
    <row r="6" spans="1:7">
      <c r="A6" t="s">
        <v>25</v>
      </c>
      <c r="B6">
        <v>2023234</v>
      </c>
      <c r="C6" t="s">
        <v>26</v>
      </c>
      <c r="D6" t="s">
        <v>21</v>
      </c>
      <c r="E6" s="5">
        <v>0.3125</v>
      </c>
      <c r="F6" s="6" t="s">
        <v>37</v>
      </c>
      <c r="G6" t="s">
        <v>1</v>
      </c>
    </row>
    <row r="7" spans="1:7">
      <c r="A7" t="s">
        <v>27</v>
      </c>
      <c r="B7">
        <v>2022249</v>
      </c>
      <c r="C7" t="s">
        <v>28</v>
      </c>
      <c r="D7" t="s">
        <v>18</v>
      </c>
      <c r="E7" s="5">
        <v>0.3125</v>
      </c>
      <c r="F7" s="6" t="s">
        <v>37</v>
      </c>
      <c r="G7" t="s">
        <v>1</v>
      </c>
    </row>
    <row r="8" spans="1:7">
      <c r="A8" t="s">
        <v>29</v>
      </c>
      <c r="B8">
        <v>2020039</v>
      </c>
      <c r="C8" t="s">
        <v>30</v>
      </c>
      <c r="D8" t="s">
        <v>18</v>
      </c>
      <c r="E8" s="5">
        <v>0.3125</v>
      </c>
      <c r="F8" s="6" t="s">
        <v>37</v>
      </c>
      <c r="G8" t="s">
        <v>1</v>
      </c>
    </row>
    <row r="9" spans="1:7">
      <c r="A9" t="s">
        <v>31</v>
      </c>
      <c r="B9">
        <v>2020099</v>
      </c>
      <c r="C9" t="s">
        <v>32</v>
      </c>
      <c r="D9" t="s">
        <v>18</v>
      </c>
      <c r="E9" s="5">
        <v>0.3125</v>
      </c>
      <c r="F9" s="6" t="s">
        <v>37</v>
      </c>
      <c r="G9" t="s">
        <v>1</v>
      </c>
    </row>
    <row r="10" spans="1:7">
      <c r="A10" t="s">
        <v>33</v>
      </c>
      <c r="B10">
        <v>2020128</v>
      </c>
      <c r="C10" t="s">
        <v>34</v>
      </c>
      <c r="D10" t="s">
        <v>18</v>
      </c>
      <c r="E10" s="5">
        <v>0.3125</v>
      </c>
      <c r="F10" s="6" t="s">
        <v>37</v>
      </c>
      <c r="G10" t="s">
        <v>1</v>
      </c>
    </row>
    <row r="11" spans="1:7">
      <c r="A11" t="s">
        <v>35</v>
      </c>
      <c r="B11">
        <v>2021278</v>
      </c>
      <c r="C11" t="s">
        <v>36</v>
      </c>
      <c r="D11" t="s">
        <v>21</v>
      </c>
      <c r="E11" s="5">
        <v>0.3125</v>
      </c>
      <c r="F11" s="6" t="s">
        <v>37</v>
      </c>
      <c r="G11" t="s">
        <v>1</v>
      </c>
    </row>
    <row r="12" spans="1:7">
      <c r="A12" t="s">
        <v>27</v>
      </c>
      <c r="B12">
        <v>2022249</v>
      </c>
      <c r="C12" t="s">
        <v>28</v>
      </c>
      <c r="D12" t="s">
        <v>18</v>
      </c>
      <c r="E12" s="5">
        <v>0.3125</v>
      </c>
      <c r="F12" s="6" t="s">
        <v>38</v>
      </c>
      <c r="G12" t="s">
        <v>1</v>
      </c>
    </row>
    <row r="13" spans="1:7">
      <c r="A13" t="s">
        <v>29</v>
      </c>
      <c r="B13">
        <v>2020039</v>
      </c>
      <c r="C13" t="s">
        <v>30</v>
      </c>
      <c r="D13" t="s">
        <v>18</v>
      </c>
      <c r="E13" s="5">
        <v>0.3125</v>
      </c>
      <c r="F13" s="6" t="s">
        <v>38</v>
      </c>
      <c r="G13" t="s">
        <v>1</v>
      </c>
    </row>
    <row r="14" spans="1:7">
      <c r="A14" t="s">
        <v>31</v>
      </c>
      <c r="B14">
        <v>2020099</v>
      </c>
      <c r="C14" t="s">
        <v>32</v>
      </c>
      <c r="D14" t="s">
        <v>18</v>
      </c>
      <c r="E14" s="5">
        <v>0.3125</v>
      </c>
      <c r="F14" s="6" t="s">
        <v>38</v>
      </c>
      <c r="G14" t="s">
        <v>1</v>
      </c>
    </row>
    <row r="15" spans="1:7">
      <c r="A15" t="s">
        <v>33</v>
      </c>
      <c r="B15">
        <v>2020128</v>
      </c>
      <c r="C15" t="s">
        <v>34</v>
      </c>
      <c r="D15" t="s">
        <v>18</v>
      </c>
      <c r="E15" s="5">
        <v>0.3125</v>
      </c>
      <c r="F15" s="6" t="s">
        <v>38</v>
      </c>
      <c r="G15" t="s">
        <v>1</v>
      </c>
    </row>
    <row r="16" spans="1:7">
      <c r="A16" t="s">
        <v>35</v>
      </c>
      <c r="B16">
        <v>2021278</v>
      </c>
      <c r="C16" t="s">
        <v>36</v>
      </c>
      <c r="D16" t="s">
        <v>21</v>
      </c>
      <c r="E16" s="5">
        <v>0.3125</v>
      </c>
      <c r="F16" s="6" t="s">
        <v>38</v>
      </c>
      <c r="G16" t="s">
        <v>1</v>
      </c>
    </row>
    <row r="17" spans="1:7">
      <c r="A17" t="s">
        <v>17</v>
      </c>
      <c r="B17">
        <v>2020081</v>
      </c>
      <c r="C17" t="s">
        <v>2</v>
      </c>
      <c r="D17" t="s">
        <v>18</v>
      </c>
      <c r="E17" s="5">
        <v>0.47916666666666669</v>
      </c>
      <c r="F17" s="6" t="s">
        <v>37</v>
      </c>
      <c r="G17" t="s">
        <v>3</v>
      </c>
    </row>
    <row r="18" spans="1:7">
      <c r="A18" t="s">
        <v>19</v>
      </c>
      <c r="B18">
        <v>2022313</v>
      </c>
      <c r="C18" t="s">
        <v>20</v>
      </c>
      <c r="D18" t="s">
        <v>21</v>
      </c>
      <c r="E18" s="5">
        <v>0.47916666666666669</v>
      </c>
      <c r="F18" s="6" t="s">
        <v>37</v>
      </c>
      <c r="G18" t="s">
        <v>3</v>
      </c>
    </row>
    <row r="19" spans="1:7">
      <c r="A19" t="s">
        <v>22</v>
      </c>
      <c r="B19">
        <v>2020091</v>
      </c>
      <c r="C19" t="s">
        <v>0</v>
      </c>
      <c r="D19" t="s">
        <v>21</v>
      </c>
      <c r="E19" s="5">
        <v>0.47916666666666669</v>
      </c>
      <c r="F19" s="6" t="s">
        <v>37</v>
      </c>
      <c r="G19" t="s">
        <v>3</v>
      </c>
    </row>
    <row r="20" spans="1:7">
      <c r="A20" t="s">
        <v>23</v>
      </c>
      <c r="B20">
        <v>2020008</v>
      </c>
      <c r="C20" t="s">
        <v>24</v>
      </c>
      <c r="D20" t="s">
        <v>21</v>
      </c>
      <c r="E20" s="5">
        <v>0.47916666666666669</v>
      </c>
      <c r="F20" s="6" t="s">
        <v>37</v>
      </c>
      <c r="G20" t="s">
        <v>3</v>
      </c>
    </row>
    <row r="21" spans="1:7">
      <c r="A21" t="s">
        <v>25</v>
      </c>
      <c r="B21">
        <v>2023234</v>
      </c>
      <c r="C21" t="s">
        <v>26</v>
      </c>
      <c r="D21" t="s">
        <v>21</v>
      </c>
      <c r="E21" s="5">
        <v>0.47916666666666669</v>
      </c>
      <c r="F21" s="6" t="s">
        <v>37</v>
      </c>
      <c r="G21" t="s">
        <v>3</v>
      </c>
    </row>
    <row r="22" spans="1:7">
      <c r="A22" t="s">
        <v>27</v>
      </c>
      <c r="B22">
        <v>2022249</v>
      </c>
      <c r="C22" t="s">
        <v>28</v>
      </c>
      <c r="D22" t="s">
        <v>18</v>
      </c>
      <c r="E22" s="5">
        <v>0.47916666666666669</v>
      </c>
      <c r="F22" s="6" t="s">
        <v>37</v>
      </c>
      <c r="G22" t="s">
        <v>3</v>
      </c>
    </row>
    <row r="23" spans="1:7">
      <c r="A23" t="s">
        <v>29</v>
      </c>
      <c r="B23">
        <v>2020039</v>
      </c>
      <c r="C23" t="s">
        <v>30</v>
      </c>
      <c r="D23" t="s">
        <v>18</v>
      </c>
      <c r="E23" s="5">
        <v>0.47916666666666669</v>
      </c>
      <c r="F23" s="6" t="s">
        <v>37</v>
      </c>
      <c r="G23" t="s">
        <v>3</v>
      </c>
    </row>
    <row r="24" spans="1:7">
      <c r="A24" t="s">
        <v>31</v>
      </c>
      <c r="B24">
        <v>2020099</v>
      </c>
      <c r="C24" t="s">
        <v>32</v>
      </c>
      <c r="D24" t="s">
        <v>18</v>
      </c>
      <c r="E24" s="5">
        <v>0.47916666666666669</v>
      </c>
      <c r="F24" s="6" t="s">
        <v>37</v>
      </c>
      <c r="G24" t="s">
        <v>3</v>
      </c>
    </row>
    <row r="25" spans="1:7">
      <c r="A25" t="s">
        <v>33</v>
      </c>
      <c r="B25">
        <v>2020128</v>
      </c>
      <c r="C25" t="s">
        <v>34</v>
      </c>
      <c r="D25" t="s">
        <v>18</v>
      </c>
      <c r="E25" s="5">
        <v>0.47916666666666669</v>
      </c>
      <c r="F25" s="6" t="s">
        <v>37</v>
      </c>
      <c r="G25" t="s">
        <v>3</v>
      </c>
    </row>
    <row r="26" spans="1:7">
      <c r="A26" t="s">
        <v>35</v>
      </c>
      <c r="B26">
        <v>2021278</v>
      </c>
      <c r="C26" t="s">
        <v>36</v>
      </c>
      <c r="D26" t="s">
        <v>21</v>
      </c>
      <c r="E26" s="5">
        <v>0.47916666666666669</v>
      </c>
      <c r="F26" s="6" t="s">
        <v>37</v>
      </c>
      <c r="G26" t="s">
        <v>3</v>
      </c>
    </row>
    <row r="27" spans="1:7">
      <c r="A27" t="s">
        <v>17</v>
      </c>
      <c r="B27">
        <v>2020081</v>
      </c>
      <c r="C27" t="s">
        <v>2</v>
      </c>
      <c r="D27" t="s">
        <v>18</v>
      </c>
      <c r="E27" s="5">
        <v>0.47916666666666669</v>
      </c>
      <c r="F27" s="6" t="s">
        <v>38</v>
      </c>
      <c r="G27" t="s">
        <v>3</v>
      </c>
    </row>
    <row r="28" spans="1:7">
      <c r="A28" t="s">
        <v>19</v>
      </c>
      <c r="B28">
        <v>2022313</v>
      </c>
      <c r="C28" t="s">
        <v>20</v>
      </c>
      <c r="D28" t="s">
        <v>21</v>
      </c>
      <c r="E28" s="5">
        <v>0.47916666666666669</v>
      </c>
      <c r="F28" s="6" t="s">
        <v>38</v>
      </c>
      <c r="G28" t="s">
        <v>3</v>
      </c>
    </row>
    <row r="29" spans="1:7">
      <c r="A29" t="s">
        <v>22</v>
      </c>
      <c r="B29">
        <v>2020091</v>
      </c>
      <c r="C29" t="s">
        <v>0</v>
      </c>
      <c r="D29" t="s">
        <v>21</v>
      </c>
      <c r="E29" s="5">
        <v>0.47916666666666669</v>
      </c>
      <c r="F29" s="6" t="s">
        <v>38</v>
      </c>
      <c r="G29" t="s">
        <v>3</v>
      </c>
    </row>
    <row r="30" spans="1:7">
      <c r="A30" t="s">
        <v>23</v>
      </c>
      <c r="B30">
        <v>2020008</v>
      </c>
      <c r="C30" t="s">
        <v>24</v>
      </c>
      <c r="D30" t="s">
        <v>21</v>
      </c>
      <c r="E30" s="5">
        <v>0.47916666666666669</v>
      </c>
      <c r="F30" s="6" t="s">
        <v>38</v>
      </c>
      <c r="G30" t="s">
        <v>3</v>
      </c>
    </row>
    <row r="31" spans="1:7">
      <c r="A31" t="s">
        <v>35</v>
      </c>
      <c r="B31">
        <v>2021278</v>
      </c>
      <c r="C31" t="s">
        <v>36</v>
      </c>
      <c r="D31" t="s">
        <v>21</v>
      </c>
      <c r="E31" s="5">
        <v>0.47916666666666669</v>
      </c>
      <c r="F31" s="6" t="s">
        <v>38</v>
      </c>
      <c r="G31" t="s">
        <v>3</v>
      </c>
    </row>
    <row r="32" spans="1:7">
      <c r="A32" t="s">
        <v>17</v>
      </c>
      <c r="B32">
        <v>2020081</v>
      </c>
      <c r="C32" t="s">
        <v>2</v>
      </c>
      <c r="D32" t="s">
        <v>18</v>
      </c>
      <c r="E32" s="5">
        <v>0.56388888888888888</v>
      </c>
      <c r="F32" s="6" t="s">
        <v>37</v>
      </c>
      <c r="G32" t="s">
        <v>4</v>
      </c>
    </row>
    <row r="33" spans="1:7">
      <c r="A33" t="s">
        <v>19</v>
      </c>
      <c r="B33">
        <v>2022313</v>
      </c>
      <c r="C33" t="s">
        <v>20</v>
      </c>
      <c r="D33" t="s">
        <v>21</v>
      </c>
      <c r="E33" s="5">
        <v>0.56458333333333333</v>
      </c>
      <c r="F33" s="6" t="s">
        <v>37</v>
      </c>
      <c r="G33" t="s">
        <v>4</v>
      </c>
    </row>
    <row r="34" spans="1:7">
      <c r="A34" t="s">
        <v>22</v>
      </c>
      <c r="B34">
        <v>2020091</v>
      </c>
      <c r="C34" t="s">
        <v>0</v>
      </c>
      <c r="D34" t="s">
        <v>21</v>
      </c>
      <c r="E34" s="5">
        <v>0.56458333333333333</v>
      </c>
      <c r="F34" s="6" t="s">
        <v>37</v>
      </c>
      <c r="G34" t="s">
        <v>4</v>
      </c>
    </row>
    <row r="35" spans="1:7">
      <c r="A35" t="s">
        <v>23</v>
      </c>
      <c r="B35">
        <v>2020008</v>
      </c>
      <c r="C35" t="s">
        <v>24</v>
      </c>
      <c r="D35" t="s">
        <v>21</v>
      </c>
      <c r="E35" s="5">
        <v>0.56458333333333333</v>
      </c>
      <c r="F35" s="6" t="s">
        <v>37</v>
      </c>
      <c r="G35" t="s">
        <v>4</v>
      </c>
    </row>
    <row r="36" spans="1:7">
      <c r="A36" t="s">
        <v>25</v>
      </c>
      <c r="B36">
        <v>2023234</v>
      </c>
      <c r="C36" t="s">
        <v>26</v>
      </c>
      <c r="D36" t="s">
        <v>21</v>
      </c>
      <c r="E36" s="5">
        <v>0.56458333333333333</v>
      </c>
      <c r="F36" s="6" t="s">
        <v>37</v>
      </c>
      <c r="G36" t="s">
        <v>4</v>
      </c>
    </row>
    <row r="37" spans="1:7">
      <c r="A37" t="s">
        <v>27</v>
      </c>
      <c r="B37">
        <v>2022249</v>
      </c>
      <c r="C37" t="s">
        <v>28</v>
      </c>
      <c r="D37" t="s">
        <v>18</v>
      </c>
      <c r="E37" s="5">
        <v>0.56458333333333333</v>
      </c>
      <c r="F37" s="6" t="s">
        <v>37</v>
      </c>
      <c r="G37" t="s">
        <v>4</v>
      </c>
    </row>
    <row r="38" spans="1:7">
      <c r="A38" t="s">
        <v>29</v>
      </c>
      <c r="B38">
        <v>2020039</v>
      </c>
      <c r="C38" t="s">
        <v>30</v>
      </c>
      <c r="D38" t="s">
        <v>18</v>
      </c>
      <c r="E38" s="5">
        <v>0.56458333333333333</v>
      </c>
      <c r="F38" s="6" t="s">
        <v>37</v>
      </c>
      <c r="G38" t="s">
        <v>4</v>
      </c>
    </row>
    <row r="39" spans="1:7">
      <c r="A39" t="s">
        <v>31</v>
      </c>
      <c r="B39">
        <v>2020099</v>
      </c>
      <c r="C39" t="s">
        <v>32</v>
      </c>
      <c r="D39" t="s">
        <v>18</v>
      </c>
      <c r="E39" s="5">
        <v>0.56527777777777777</v>
      </c>
      <c r="F39" s="6" t="s">
        <v>37</v>
      </c>
      <c r="G39" t="s">
        <v>4</v>
      </c>
    </row>
    <row r="40" spans="1:7">
      <c r="A40" t="s">
        <v>33</v>
      </c>
      <c r="B40">
        <v>2020128</v>
      </c>
      <c r="C40" t="s">
        <v>34</v>
      </c>
      <c r="D40" t="s">
        <v>18</v>
      </c>
      <c r="E40" s="5">
        <v>0.56527777777777777</v>
      </c>
      <c r="F40" s="6" t="s">
        <v>37</v>
      </c>
      <c r="G40" t="s">
        <v>4</v>
      </c>
    </row>
    <row r="41" spans="1:7">
      <c r="A41" t="s">
        <v>35</v>
      </c>
      <c r="B41">
        <v>2021278</v>
      </c>
      <c r="C41" t="s">
        <v>36</v>
      </c>
      <c r="D41" t="s">
        <v>21</v>
      </c>
      <c r="E41" s="5">
        <v>0.56527777777777777</v>
      </c>
      <c r="F41" s="6" t="s">
        <v>37</v>
      </c>
      <c r="G41" t="s">
        <v>4</v>
      </c>
    </row>
    <row r="42" spans="1:7">
      <c r="A42" t="s">
        <v>17</v>
      </c>
      <c r="B42">
        <v>2020081</v>
      </c>
      <c r="C42" t="s">
        <v>2</v>
      </c>
      <c r="D42" t="s">
        <v>18</v>
      </c>
      <c r="E42" s="5">
        <v>0.56388888888888888</v>
      </c>
      <c r="F42" s="6" t="s">
        <v>38</v>
      </c>
      <c r="G42" t="s">
        <v>4</v>
      </c>
    </row>
    <row r="43" spans="1:7">
      <c r="A43" t="s">
        <v>19</v>
      </c>
      <c r="B43">
        <v>2022313</v>
      </c>
      <c r="C43" t="s">
        <v>20</v>
      </c>
      <c r="D43" t="s">
        <v>21</v>
      </c>
      <c r="E43" s="5">
        <v>0.56458333333333333</v>
      </c>
      <c r="F43" s="6" t="s">
        <v>38</v>
      </c>
      <c r="G43" t="s">
        <v>4</v>
      </c>
    </row>
    <row r="44" spans="1:7">
      <c r="A44" t="s">
        <v>22</v>
      </c>
      <c r="B44">
        <v>2020091</v>
      </c>
      <c r="C44" t="s">
        <v>0</v>
      </c>
      <c r="D44" t="s">
        <v>21</v>
      </c>
      <c r="E44" s="5">
        <v>0.56458333333333333</v>
      </c>
      <c r="F44" s="6" t="s">
        <v>38</v>
      </c>
      <c r="G44" t="s">
        <v>4</v>
      </c>
    </row>
    <row r="45" spans="1:7">
      <c r="A45" t="s">
        <v>23</v>
      </c>
      <c r="B45">
        <v>2020008</v>
      </c>
      <c r="C45" t="s">
        <v>24</v>
      </c>
      <c r="D45" t="s">
        <v>21</v>
      </c>
      <c r="E45" s="5">
        <v>0.56458333333333333</v>
      </c>
      <c r="F45" s="6" t="s">
        <v>38</v>
      </c>
      <c r="G45" t="s">
        <v>4</v>
      </c>
    </row>
    <row r="46" spans="1:7">
      <c r="A46" t="s">
        <v>25</v>
      </c>
      <c r="B46">
        <v>2023234</v>
      </c>
      <c r="C46" t="s">
        <v>26</v>
      </c>
      <c r="D46" t="s">
        <v>21</v>
      </c>
      <c r="E46" s="5">
        <v>0.56458333333333333</v>
      </c>
      <c r="F46" s="6" t="s">
        <v>38</v>
      </c>
      <c r="G46" t="s">
        <v>4</v>
      </c>
    </row>
    <row r="47" spans="1:7">
      <c r="A47" t="s">
        <v>27</v>
      </c>
      <c r="B47">
        <v>2022249</v>
      </c>
      <c r="C47" t="s">
        <v>28</v>
      </c>
      <c r="D47" t="s">
        <v>18</v>
      </c>
      <c r="E47" s="5">
        <v>0.56458333333333333</v>
      </c>
      <c r="F47" s="6" t="s">
        <v>38</v>
      </c>
      <c r="G47" t="s">
        <v>4</v>
      </c>
    </row>
    <row r="48" spans="1:7">
      <c r="A48" t="s">
        <v>29</v>
      </c>
      <c r="B48">
        <v>2020039</v>
      </c>
      <c r="C48" t="s">
        <v>30</v>
      </c>
      <c r="D48" t="s">
        <v>18</v>
      </c>
      <c r="E48" s="5">
        <v>0.56458333333333333</v>
      </c>
      <c r="F48" s="6" t="s">
        <v>38</v>
      </c>
      <c r="G48" t="s">
        <v>4</v>
      </c>
    </row>
    <row r="49" spans="1:7">
      <c r="A49" t="s">
        <v>31</v>
      </c>
      <c r="B49">
        <v>2020099</v>
      </c>
      <c r="C49" t="s">
        <v>32</v>
      </c>
      <c r="D49" t="s">
        <v>18</v>
      </c>
      <c r="E49" s="5">
        <v>0.56527777777777777</v>
      </c>
      <c r="F49" s="6" t="s">
        <v>38</v>
      </c>
      <c r="G49" t="s">
        <v>4</v>
      </c>
    </row>
    <row r="50" spans="1:7">
      <c r="A50" t="s">
        <v>33</v>
      </c>
      <c r="B50">
        <v>2020128</v>
      </c>
      <c r="C50" t="s">
        <v>34</v>
      </c>
      <c r="D50" t="s">
        <v>18</v>
      </c>
      <c r="E50" s="5">
        <v>0.56527777777777777</v>
      </c>
      <c r="F50" s="6" t="s">
        <v>38</v>
      </c>
      <c r="G50" t="s">
        <v>4</v>
      </c>
    </row>
    <row r="51" spans="1:7">
      <c r="A51" t="s">
        <v>35</v>
      </c>
      <c r="B51">
        <v>2021278</v>
      </c>
      <c r="C51" t="s">
        <v>36</v>
      </c>
      <c r="D51" t="s">
        <v>21</v>
      </c>
      <c r="E51" s="5">
        <v>0.56527777777777777</v>
      </c>
      <c r="F51" s="6" t="s">
        <v>38</v>
      </c>
      <c r="G51" t="s">
        <v>4</v>
      </c>
    </row>
    <row r="52" spans="1:7">
      <c r="A52" t="s">
        <v>17</v>
      </c>
      <c r="B52">
        <v>2020081</v>
      </c>
      <c r="C52" t="s">
        <v>2</v>
      </c>
      <c r="D52" t="s">
        <v>18</v>
      </c>
      <c r="E52" s="5">
        <v>0.6875</v>
      </c>
      <c r="F52" s="6" t="s">
        <v>37</v>
      </c>
      <c r="G52" t="s">
        <v>5</v>
      </c>
    </row>
    <row r="53" spans="1:7">
      <c r="A53" t="s">
        <v>19</v>
      </c>
      <c r="B53">
        <v>2022313</v>
      </c>
      <c r="C53" t="s">
        <v>20</v>
      </c>
      <c r="D53" t="s">
        <v>21</v>
      </c>
      <c r="E53" s="5">
        <v>0.6875</v>
      </c>
      <c r="F53" s="6" t="s">
        <v>37</v>
      </c>
      <c r="G53" t="s">
        <v>5</v>
      </c>
    </row>
    <row r="54" spans="1:7">
      <c r="A54" t="s">
        <v>22</v>
      </c>
      <c r="B54">
        <v>2020091</v>
      </c>
      <c r="C54" t="s">
        <v>0</v>
      </c>
      <c r="D54" t="s">
        <v>21</v>
      </c>
      <c r="E54" s="5">
        <v>0.6875</v>
      </c>
      <c r="F54" s="6" t="s">
        <v>37</v>
      </c>
      <c r="G54" t="s">
        <v>5</v>
      </c>
    </row>
    <row r="55" spans="1:7">
      <c r="A55" t="s">
        <v>23</v>
      </c>
      <c r="B55">
        <v>2020008</v>
      </c>
      <c r="C55" t="s">
        <v>24</v>
      </c>
      <c r="D55" t="s">
        <v>21</v>
      </c>
      <c r="E55" s="5">
        <v>0.6875</v>
      </c>
      <c r="F55" s="6" t="s">
        <v>37</v>
      </c>
      <c r="G55" t="s">
        <v>5</v>
      </c>
    </row>
    <row r="56" spans="1:7">
      <c r="A56" t="s">
        <v>25</v>
      </c>
      <c r="B56">
        <v>2023234</v>
      </c>
      <c r="C56" t="s">
        <v>26</v>
      </c>
      <c r="D56" t="s">
        <v>21</v>
      </c>
      <c r="E56" s="5">
        <v>0.6875</v>
      </c>
      <c r="F56" s="6" t="s">
        <v>37</v>
      </c>
      <c r="G56" t="s">
        <v>5</v>
      </c>
    </row>
    <row r="57" spans="1:7">
      <c r="A57" t="s">
        <v>27</v>
      </c>
      <c r="B57">
        <v>2022249</v>
      </c>
      <c r="C57" t="s">
        <v>28</v>
      </c>
      <c r="D57" t="s">
        <v>18</v>
      </c>
      <c r="E57" s="5">
        <v>0.6875</v>
      </c>
      <c r="F57" s="6" t="s">
        <v>37</v>
      </c>
      <c r="G57" t="s">
        <v>5</v>
      </c>
    </row>
    <row r="58" spans="1:7">
      <c r="A58" t="s">
        <v>29</v>
      </c>
      <c r="B58">
        <v>2020039</v>
      </c>
      <c r="C58" t="s">
        <v>30</v>
      </c>
      <c r="D58" t="s">
        <v>18</v>
      </c>
      <c r="E58" s="5">
        <v>0.6875</v>
      </c>
      <c r="F58" s="6" t="s">
        <v>37</v>
      </c>
      <c r="G58" t="s">
        <v>5</v>
      </c>
    </row>
    <row r="59" spans="1:7">
      <c r="A59" t="s">
        <v>31</v>
      </c>
      <c r="B59">
        <v>2020099</v>
      </c>
      <c r="C59" t="s">
        <v>32</v>
      </c>
      <c r="D59" t="s">
        <v>18</v>
      </c>
      <c r="E59" s="5">
        <v>0.6875</v>
      </c>
      <c r="F59" s="6" t="s">
        <v>37</v>
      </c>
      <c r="G59" t="s">
        <v>5</v>
      </c>
    </row>
    <row r="60" spans="1:7">
      <c r="A60" t="s">
        <v>33</v>
      </c>
      <c r="B60">
        <v>2020128</v>
      </c>
      <c r="C60" t="s">
        <v>34</v>
      </c>
      <c r="D60" t="s">
        <v>18</v>
      </c>
      <c r="E60" s="5">
        <v>0.6875</v>
      </c>
      <c r="F60" s="6" t="s">
        <v>37</v>
      </c>
      <c r="G60" t="s">
        <v>5</v>
      </c>
    </row>
    <row r="61" spans="1:7">
      <c r="A61" t="s">
        <v>35</v>
      </c>
      <c r="B61">
        <v>2021278</v>
      </c>
      <c r="C61" t="s">
        <v>36</v>
      </c>
      <c r="D61" t="s">
        <v>21</v>
      </c>
      <c r="E61" s="5">
        <v>0.6875</v>
      </c>
      <c r="F61" s="6" t="s">
        <v>37</v>
      </c>
      <c r="G61" t="s">
        <v>5</v>
      </c>
    </row>
    <row r="62" spans="1:7">
      <c r="A62" t="s">
        <v>22</v>
      </c>
      <c r="B62">
        <v>2020091</v>
      </c>
      <c r="C62" t="s">
        <v>0</v>
      </c>
      <c r="D62" t="s">
        <v>21</v>
      </c>
      <c r="E62" s="5">
        <v>0.7263425925925926</v>
      </c>
      <c r="F62" s="6" t="s">
        <v>38</v>
      </c>
      <c r="G62" t="s">
        <v>5</v>
      </c>
    </row>
    <row r="63" spans="1:7">
      <c r="A63" t="s">
        <v>19</v>
      </c>
      <c r="B63">
        <v>2022313</v>
      </c>
      <c r="C63" t="s">
        <v>20</v>
      </c>
      <c r="D63" t="s">
        <v>21</v>
      </c>
      <c r="E63" s="5">
        <v>0.72641203703703705</v>
      </c>
      <c r="F63" s="6" t="s">
        <v>38</v>
      </c>
      <c r="G63" t="s">
        <v>5</v>
      </c>
    </row>
    <row r="64" spans="1:7">
      <c r="A64" t="s">
        <v>6</v>
      </c>
      <c r="C64" t="s">
        <v>7</v>
      </c>
      <c r="D64" t="s">
        <v>7</v>
      </c>
      <c r="G64" t="s">
        <v>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3:Y25"/>
  <sheetViews>
    <sheetView showGridLines="0" tabSelected="1" topLeftCell="B1" zoomScaleNormal="100" workbookViewId="0">
      <selection activeCell="K25" sqref="K25"/>
    </sheetView>
  </sheetViews>
  <sheetFormatPr defaultRowHeight="14.25"/>
  <cols>
    <col min="3" max="3" width="26.625" style="11" customWidth="1"/>
    <col min="4" max="12" width="13.25" style="1" customWidth="1"/>
    <col min="13" max="13" width="13.875" style="1" customWidth="1"/>
    <col min="14" max="14" width="12.75" style="2" customWidth="1"/>
    <col min="15" max="15" width="12.625" customWidth="1"/>
    <col min="16" max="16" width="14.25" customWidth="1"/>
    <col min="17" max="17" width="5" customWidth="1"/>
    <col min="18" max="25" width="0" hidden="1" customWidth="1"/>
  </cols>
  <sheetData>
    <row r="3" spans="3:25">
      <c r="C3" s="30"/>
      <c r="D3" s="31" t="s">
        <v>1</v>
      </c>
      <c r="E3" s="32" t="s">
        <v>3</v>
      </c>
      <c r="F3" s="32" t="s">
        <v>4</v>
      </c>
      <c r="G3" s="32" t="s">
        <v>5</v>
      </c>
      <c r="H3" s="32" t="s">
        <v>1</v>
      </c>
      <c r="I3" s="32" t="s">
        <v>3</v>
      </c>
      <c r="J3" s="32" t="s">
        <v>4</v>
      </c>
      <c r="K3" s="33" t="s">
        <v>5</v>
      </c>
      <c r="M3" s="34" t="s">
        <v>51</v>
      </c>
      <c r="N3" s="35">
        <v>50</v>
      </c>
    </row>
    <row r="4" spans="3:25">
      <c r="C4" s="26" t="s">
        <v>50</v>
      </c>
      <c r="D4" s="27">
        <v>0.3125</v>
      </c>
      <c r="E4" s="28">
        <v>0.5</v>
      </c>
      <c r="F4" s="28">
        <v>0.5625</v>
      </c>
      <c r="G4" s="28">
        <v>0.75</v>
      </c>
      <c r="H4" s="28">
        <v>0.3125</v>
      </c>
      <c r="I4" s="28">
        <v>0.5</v>
      </c>
      <c r="J4" s="28">
        <v>0.5625</v>
      </c>
      <c r="K4" s="29">
        <v>0.75</v>
      </c>
      <c r="L4" s="21"/>
      <c r="M4" s="36" t="s">
        <v>52</v>
      </c>
      <c r="N4" s="37">
        <v>100</v>
      </c>
    </row>
    <row r="5" spans="3:25" ht="43.5" customHeight="1"/>
    <row r="6" spans="3:25">
      <c r="C6" s="13"/>
      <c r="D6" s="14" t="s">
        <v>37</v>
      </c>
      <c r="E6" s="14"/>
      <c r="F6" s="14"/>
      <c r="G6" s="14"/>
      <c r="H6" s="15" t="s">
        <v>38</v>
      </c>
      <c r="I6" s="15"/>
      <c r="J6" s="15"/>
      <c r="K6" s="15"/>
      <c r="L6" s="22" t="s">
        <v>42</v>
      </c>
      <c r="M6" s="9" t="s">
        <v>15</v>
      </c>
      <c r="N6" s="16">
        <v>150</v>
      </c>
      <c r="O6" s="19" t="s">
        <v>41</v>
      </c>
      <c r="P6" s="20" t="s">
        <v>40</v>
      </c>
    </row>
    <row r="7" spans="3:25">
      <c r="C7" s="13" t="s">
        <v>39</v>
      </c>
      <c r="D7" s="25" t="s">
        <v>1</v>
      </c>
      <c r="E7" s="25" t="s">
        <v>3</v>
      </c>
      <c r="F7" s="25" t="s">
        <v>4</v>
      </c>
      <c r="G7" s="25" t="s">
        <v>5</v>
      </c>
      <c r="H7" s="12" t="s">
        <v>1</v>
      </c>
      <c r="I7" s="12" t="s">
        <v>3</v>
      </c>
      <c r="J7" s="12" t="s">
        <v>4</v>
      </c>
      <c r="K7" s="12" t="s">
        <v>5</v>
      </c>
      <c r="L7" s="22"/>
      <c r="M7" s="9"/>
      <c r="N7" s="16" t="s">
        <v>16</v>
      </c>
      <c r="O7" s="19"/>
      <c r="P7" s="20"/>
    </row>
    <row r="8" spans="3:25" ht="15">
      <c r="C8" s="38" t="s">
        <v>8</v>
      </c>
      <c r="D8" s="39" t="s">
        <v>9</v>
      </c>
      <c r="E8" s="39" t="s">
        <v>10</v>
      </c>
      <c r="F8" s="39" t="s">
        <v>11</v>
      </c>
      <c r="G8" s="39" t="s">
        <v>12</v>
      </c>
      <c r="H8" s="40" t="s">
        <v>13</v>
      </c>
      <c r="I8" s="40" t="s">
        <v>14</v>
      </c>
      <c r="J8" s="40" t="s">
        <v>43</v>
      </c>
      <c r="K8" s="40" t="s">
        <v>44</v>
      </c>
      <c r="L8" s="41" t="s">
        <v>45</v>
      </c>
      <c r="M8" s="42" t="s">
        <v>46</v>
      </c>
      <c r="N8" s="43" t="s">
        <v>47</v>
      </c>
      <c r="O8" s="44" t="s">
        <v>48</v>
      </c>
      <c r="P8" s="45" t="s">
        <v>49</v>
      </c>
    </row>
    <row r="9" spans="3:25">
      <c r="C9" s="10" t="s">
        <v>0</v>
      </c>
      <c r="D9" s="7" cm="1">
        <f t="array" ref="D9">IFERROR(_xlfn._xlws.FILTER(tblCombinedCSVs[Column5],(tblCombinedCSVs[Column3]=$C9)*(tblCombinedCSVs[Column7]=D$7)*(tblCombinedCSVs[Column6]=$D$6)),"ABSENT")</f>
        <v>0.35416666666666669</v>
      </c>
      <c r="E9" s="7" cm="1">
        <f t="array" ref="E9">IFERROR(_xlfn._xlws.FILTER(tblCombinedCSVs[Column5],(tblCombinedCSVs[Column3]=$C9)*(tblCombinedCSVs[Column7]=E$7)*(tblCombinedCSVs[Column6]=$D$6)),"ABSENT")</f>
        <v>0.47916666666666669</v>
      </c>
      <c r="F9" s="7" cm="1">
        <f t="array" ref="F9">IFERROR(_xlfn._xlws.FILTER(tblCombinedCSVs[Column5],(tblCombinedCSVs[Column3]=$C9)*(tblCombinedCSVs[Column7]=F$7)*(tblCombinedCSVs[Column6]=$D$6)),"ABSENT")</f>
        <v>0.56458333333333333</v>
      </c>
      <c r="G9" s="7" cm="1">
        <f t="array" ref="G9">IFERROR(_xlfn._xlws.FILTER(tblCombinedCSVs[Column5],(tblCombinedCSVs[Column3]=$C9)*(tblCombinedCSVs[Column7]=G$7)*(tblCombinedCSVs[Column6]=$D$6)),"ABSENT")</f>
        <v>0.6875</v>
      </c>
      <c r="H9" s="8" t="str" cm="1">
        <f t="array" ref="H9">IFERROR(_xlfn._xlws.FILTER(tblCombinedCSVs[Column5],(tblCombinedCSVs[Column3]=$C9)*(tblCombinedCSVs[Column7]=H$7)*(tblCombinedCSVs[Column6]="09/05/2024")),"ABSENT")</f>
        <v>ABSENT</v>
      </c>
      <c r="I9" s="8" cm="1">
        <f t="array" ref="I9">IFERROR(_xlfn._xlws.FILTER(tblCombinedCSVs[Column5],(tblCombinedCSVs[Column3]=$C9)*(tblCombinedCSVs[Column7]=I$7)*(tblCombinedCSVs[Column6]="09/05/2024")),"ABSENT")</f>
        <v>0.47916666666666669</v>
      </c>
      <c r="J9" s="8" cm="1">
        <f t="array" ref="J9">IFERROR(_xlfn._xlws.FILTER(tblCombinedCSVs[Column5],(tblCombinedCSVs[Column3]=$C9)*(tblCombinedCSVs[Column7]=J$7)*(tblCombinedCSVs[Column6]="09/05/2024")),"ABSENT")</f>
        <v>0.56458333333333333</v>
      </c>
      <c r="K9" s="8" cm="1">
        <f t="array" ref="K9">IFERROR(_xlfn._xlws.FILTER(tblCombinedCSVs[Column5],(tblCombinedCSVs[Column3]=$C9)*(tblCombinedCSVs[Column7]=K$7)*(tblCombinedCSVs[Column6]="09/05/2024")),"ABSENT")</f>
        <v>0.7263425925925926</v>
      </c>
      <c r="L9" s="23">
        <f t="shared" ref="L9:L18" si="0">SUM(R9:Y9)</f>
        <v>3</v>
      </c>
      <c r="M9" s="3">
        <f>COUNTIF(D9:K9,"ABSENT")</f>
        <v>1</v>
      </c>
      <c r="N9" s="4">
        <f>SUM(PRODUCT(Table2[[#This Row],[Column10]],$N$3),PRODUCT(Table2[[#This Row],[Column11]],$N$4))</f>
        <v>250</v>
      </c>
      <c r="O9" s="17"/>
      <c r="P9" s="18">
        <f>N9-O9</f>
        <v>250</v>
      </c>
      <c r="R9">
        <f>IF(OR(Table2[[#This Row],[Column2]]&lt;=$D$4,Table2[[#This Row],[Column2]]="ABSENT"),0,1)</f>
        <v>1</v>
      </c>
      <c r="S9">
        <f>IF(OR(Table2[[#This Row],[Column3]]&lt;=$E$4,Table2[[#This Row],[Column3]]="ABSENT"),0,1)</f>
        <v>0</v>
      </c>
      <c r="T9">
        <f>IF(OR(Table2[[#This Row],[Column4]]&lt;=$F$4,Table2[[#This Row],[Column4]]="ABSENT"),0,1)</f>
        <v>1</v>
      </c>
      <c r="U9">
        <f>IF(OR(Table2[[#This Row],[Column5]]&lt;=$G$4,Table2[[#This Row],[Column5]]="ABSENT"),0,1)</f>
        <v>0</v>
      </c>
      <c r="V9">
        <f>IF(OR(Table2[[#This Row],[Column6]]&lt;=$H$4,Table2[[#This Row],[Column6]]="ABSENT"),0,1)</f>
        <v>0</v>
      </c>
      <c r="W9">
        <f>IF(OR(Table2[[#This Row],[Column7]]&lt;=$I$4,Table2[[#This Row],[Column7]]="ABSENT"),0,1)</f>
        <v>0</v>
      </c>
      <c r="X9">
        <f>IF(OR(Table2[[#This Row],[Column8]]&lt;=$J$4,Table2[[#This Row],[Column8]]="ABSENT"),0,1)</f>
        <v>1</v>
      </c>
      <c r="Y9">
        <f>IF(OR(Table2[[#This Row],[Column9]]&lt;=$K$4,Table2[[#This Row],[Column9]]="ABSENT"),0,1)</f>
        <v>0</v>
      </c>
    </row>
    <row r="10" spans="3:25">
      <c r="C10" s="10" t="s">
        <v>2</v>
      </c>
      <c r="D10" s="7" cm="1">
        <f t="array" ref="D10">IFERROR(_xlfn._xlws.FILTER(tblCombinedCSVs[Column5],(tblCombinedCSVs[Column3]=$C10)*(tblCombinedCSVs[Column7]=D$7)*(tblCombinedCSVs[Column6]=$D$6)),"ABSENT")</f>
        <v>0.31875000000000003</v>
      </c>
      <c r="E10" s="7" cm="1">
        <f t="array" ref="E10">IFERROR(_xlfn._xlws.FILTER(tblCombinedCSVs[Column5],(tblCombinedCSVs[Column3]=$C10)*(tblCombinedCSVs[Column7]=E$7)*(tblCombinedCSVs[Column6]=$D$6)),"ABSENT")</f>
        <v>0.47916666666666669</v>
      </c>
      <c r="F10" s="7" cm="1">
        <f t="array" ref="F10">IFERROR(_xlfn._xlws.FILTER(tblCombinedCSVs[Column5],(tblCombinedCSVs[Column3]=$C10)*(tblCombinedCSVs[Column7]=F$7)*(tblCombinedCSVs[Column6]=$D$6)),"ABSENT")</f>
        <v>0.56388888888888888</v>
      </c>
      <c r="G10" s="7" cm="1">
        <f t="array" ref="G10">IFERROR(_xlfn._xlws.FILTER(tblCombinedCSVs[Column5],(tblCombinedCSVs[Column3]=$C10)*(tblCombinedCSVs[Column7]=G$7)*(tblCombinedCSVs[Column6]=$D$6)),"ABSENT")</f>
        <v>0.6875</v>
      </c>
      <c r="H10" s="8" t="str" cm="1">
        <f t="array" ref="H10">IFERROR(_xlfn._xlws.FILTER(tblCombinedCSVs[Column5],(tblCombinedCSVs[Column3]=$C10)*(tblCombinedCSVs[Column7]=H$7)*(tblCombinedCSVs[Column6]="09/05/2024")),"ABSENT")</f>
        <v>ABSENT</v>
      </c>
      <c r="I10" s="8" cm="1">
        <f t="array" ref="I10">IFERROR(_xlfn._xlws.FILTER(tblCombinedCSVs[Column5],(tblCombinedCSVs[Column3]=$C10)*(tblCombinedCSVs[Column7]=I$7)*(tblCombinedCSVs[Column6]="09/05/2024")),"ABSENT")</f>
        <v>0.47916666666666669</v>
      </c>
      <c r="J10" s="8" cm="1">
        <f t="array" ref="J10">IFERROR(_xlfn._xlws.FILTER(tblCombinedCSVs[Column5],(tblCombinedCSVs[Column3]=$C10)*(tblCombinedCSVs[Column7]=J$7)*(tblCombinedCSVs[Column6]="09/05/2024")),"ABSENT")</f>
        <v>0.56388888888888888</v>
      </c>
      <c r="K10" s="8" t="str" cm="1">
        <f t="array" ref="K10">IFERROR(_xlfn._xlws.FILTER(tblCombinedCSVs[Column5],(tblCombinedCSVs[Column3]=$C10)*(tblCombinedCSVs[Column7]=K$7)*(tblCombinedCSVs[Column6]="09/05/2024")),"ABSENT")</f>
        <v>ABSENT</v>
      </c>
      <c r="L10" s="23">
        <f t="shared" si="0"/>
        <v>3</v>
      </c>
      <c r="M10" s="3">
        <f t="shared" ref="M10:M18" si="1">COUNTIF(D10:K10,"ABSENT")</f>
        <v>2</v>
      </c>
      <c r="N10" s="4">
        <f>SUM(PRODUCT(Table2[[#This Row],[Column10]],$N$3),PRODUCT(Table2[[#This Row],[Column11]],$N$4))</f>
        <v>350</v>
      </c>
      <c r="O10" s="17"/>
      <c r="P10" s="18">
        <f t="shared" ref="P10:P18" si="2">N10-O10</f>
        <v>350</v>
      </c>
      <c r="R10">
        <f>IF(OR(Table2[[#This Row],[Column2]]&lt;=$D$4,Table2[[#This Row],[Column2]]="ABSENT"),0,1)</f>
        <v>1</v>
      </c>
      <c r="S10">
        <f>IF(OR(Table2[[#This Row],[Column3]]&lt;=$E$4,Table2[[#This Row],[Column3]]="ABSENT"),0,1)</f>
        <v>0</v>
      </c>
      <c r="T10">
        <f>IF(OR(Table2[[#This Row],[Column4]]&lt;=$F$4,Table2[[#This Row],[Column4]]="ABSENT"),0,1)</f>
        <v>1</v>
      </c>
      <c r="U10">
        <f>IF(OR(Table2[[#This Row],[Column5]]&lt;=$G$4,Table2[[#This Row],[Column5]]="ABSENT"),0,1)</f>
        <v>0</v>
      </c>
      <c r="V10">
        <f>IF(OR(Table2[[#This Row],[Column6]]&lt;=$H$4,Table2[[#This Row],[Column6]]="ABSENT"),0,1)</f>
        <v>0</v>
      </c>
      <c r="W10">
        <f>IF(OR(Table2[[#This Row],[Column7]]&lt;=$I$4,Table2[[#This Row],[Column7]]="ABSENT"),0,1)</f>
        <v>0</v>
      </c>
      <c r="X10">
        <f>IF(OR(Table2[[#This Row],[Column8]]&lt;=$J$4,Table2[[#This Row],[Column8]]="ABSENT"),0,1)</f>
        <v>1</v>
      </c>
      <c r="Y10">
        <f>IF(OR(Table2[[#This Row],[Column9]]&lt;=$K$4,Table2[[#This Row],[Column9]]="ABSENT"),0,1)</f>
        <v>0</v>
      </c>
    </row>
    <row r="11" spans="3:25">
      <c r="C11" s="10" t="s">
        <v>20</v>
      </c>
      <c r="D11" s="7" cm="1">
        <f t="array" ref="D11">IFERROR(_xlfn._xlws.FILTER(tblCombinedCSVs[Column5],(tblCombinedCSVs[Column3]=$C11)*(tblCombinedCSVs[Column7]=D$7)*(tblCombinedCSVs[Column6]=$D$6)),"ABSENT")</f>
        <v>0.3125</v>
      </c>
      <c r="E11" s="7" cm="1">
        <f t="array" ref="E11">IFERROR(_xlfn._xlws.FILTER(tblCombinedCSVs[Column5],(tblCombinedCSVs[Column3]=$C11)*(tblCombinedCSVs[Column7]=E$7)*(tblCombinedCSVs[Column6]=$D$6)),"ABSENT")</f>
        <v>0.47916666666666669</v>
      </c>
      <c r="F11" s="7" cm="1">
        <f t="array" ref="F11">IFERROR(_xlfn._xlws.FILTER(tblCombinedCSVs[Column5],(tblCombinedCSVs[Column3]=$C11)*(tblCombinedCSVs[Column7]=F$7)*(tblCombinedCSVs[Column6]=$D$6)),"ABSENT")</f>
        <v>0.56458333333333333</v>
      </c>
      <c r="G11" s="7" cm="1">
        <f t="array" ref="G11">IFERROR(_xlfn._xlws.FILTER(tblCombinedCSVs[Column5],(tblCombinedCSVs[Column3]=$C11)*(tblCombinedCSVs[Column7]=G$7)*(tblCombinedCSVs[Column6]=$D$6)),"ABSENT")</f>
        <v>0.6875</v>
      </c>
      <c r="H11" s="8" t="str" cm="1">
        <f t="array" ref="H11">IFERROR(_xlfn._xlws.FILTER(tblCombinedCSVs[Column5],(tblCombinedCSVs[Column3]=$C11)*(tblCombinedCSVs[Column7]=H$7)*(tblCombinedCSVs[Column6]="09/05/2024")),"ABSENT")</f>
        <v>ABSENT</v>
      </c>
      <c r="I11" s="8" cm="1">
        <f t="array" ref="I11">IFERROR(_xlfn._xlws.FILTER(tblCombinedCSVs[Column5],(tblCombinedCSVs[Column3]=$C11)*(tblCombinedCSVs[Column7]=I$7)*(tblCombinedCSVs[Column6]="09/05/2024")),"ABSENT")</f>
        <v>0.47916666666666669</v>
      </c>
      <c r="J11" s="8" cm="1">
        <f t="array" ref="J11">IFERROR(_xlfn._xlws.FILTER(tblCombinedCSVs[Column5],(tblCombinedCSVs[Column3]=$C11)*(tblCombinedCSVs[Column7]=J$7)*(tblCombinedCSVs[Column6]="09/05/2024")),"ABSENT")</f>
        <v>0.56458333333333333</v>
      </c>
      <c r="K11" s="8" cm="1">
        <f t="array" ref="K11">IFERROR(_xlfn._xlws.FILTER(tblCombinedCSVs[Column5],(tblCombinedCSVs[Column3]=$C11)*(tblCombinedCSVs[Column7]=K$7)*(tblCombinedCSVs[Column6]="09/05/2024")),"ABSENT")</f>
        <v>0.72641203703703705</v>
      </c>
      <c r="L11" s="23">
        <f t="shared" si="0"/>
        <v>2</v>
      </c>
      <c r="M11" s="3">
        <f t="shared" si="1"/>
        <v>1</v>
      </c>
      <c r="N11" s="4">
        <f>SUM(PRODUCT(Table2[[#This Row],[Column10]],$N$3),PRODUCT(Table2[[#This Row],[Column11]],$N$4))</f>
        <v>200</v>
      </c>
      <c r="O11" s="17"/>
      <c r="P11" s="18">
        <f t="shared" si="2"/>
        <v>200</v>
      </c>
      <c r="R11">
        <f>IF(OR(Table2[[#This Row],[Column2]]&lt;=$D$4,Table2[[#This Row],[Column2]]="ABSENT"),0,1)</f>
        <v>0</v>
      </c>
      <c r="S11">
        <f>IF(OR(Table2[[#This Row],[Column3]]&lt;=$E$4,Table2[[#This Row],[Column3]]="ABSENT"),0,1)</f>
        <v>0</v>
      </c>
      <c r="T11">
        <f>IF(OR(Table2[[#This Row],[Column4]]&lt;=$F$4,Table2[[#This Row],[Column4]]="ABSENT"),0,1)</f>
        <v>1</v>
      </c>
      <c r="U11">
        <f>IF(OR(Table2[[#This Row],[Column5]]&lt;=$G$4,Table2[[#This Row],[Column5]]="ABSENT"),0,1)</f>
        <v>0</v>
      </c>
      <c r="V11">
        <f>IF(OR(Table2[[#This Row],[Column6]]&lt;=$H$4,Table2[[#This Row],[Column6]]="ABSENT"),0,1)</f>
        <v>0</v>
      </c>
      <c r="W11">
        <f>IF(OR(Table2[[#This Row],[Column7]]&lt;=$I$4,Table2[[#This Row],[Column7]]="ABSENT"),0,1)</f>
        <v>0</v>
      </c>
      <c r="X11">
        <f>IF(OR(Table2[[#This Row],[Column8]]&lt;=$J$4,Table2[[#This Row],[Column8]]="ABSENT"),0,1)</f>
        <v>1</v>
      </c>
      <c r="Y11">
        <f>IF(OR(Table2[[#This Row],[Column9]]&lt;=$K$4,Table2[[#This Row],[Column9]]="ABSENT"),0,1)</f>
        <v>0</v>
      </c>
    </row>
    <row r="12" spans="3:25">
      <c r="C12" s="10" t="s">
        <v>24</v>
      </c>
      <c r="D12" s="7" cm="1">
        <f t="array" ref="D12">IFERROR(_xlfn._xlws.FILTER(tblCombinedCSVs[Column5],(tblCombinedCSVs[Column3]=$C12)*(tblCombinedCSVs[Column7]=D$7)*(tblCombinedCSVs[Column6]=$D$6)),"ABSENT")</f>
        <v>0.3125</v>
      </c>
      <c r="E12" s="7" cm="1">
        <f t="array" ref="E12">IFERROR(_xlfn._xlws.FILTER(tblCombinedCSVs[Column5],(tblCombinedCSVs[Column3]=$C12)*(tblCombinedCSVs[Column7]=E$7)*(tblCombinedCSVs[Column6]=$D$6)),"ABSENT")</f>
        <v>0.47916666666666669</v>
      </c>
      <c r="F12" s="7" cm="1">
        <f t="array" ref="F12">IFERROR(_xlfn._xlws.FILTER(tblCombinedCSVs[Column5],(tblCombinedCSVs[Column3]=$C12)*(tblCombinedCSVs[Column7]=F$7)*(tblCombinedCSVs[Column6]=$D$6)),"ABSENT")</f>
        <v>0.56458333333333333</v>
      </c>
      <c r="G12" s="7" cm="1">
        <f t="array" ref="G12">IFERROR(_xlfn._xlws.FILTER(tblCombinedCSVs[Column5],(tblCombinedCSVs[Column3]=$C12)*(tblCombinedCSVs[Column7]=G$7)*(tblCombinedCSVs[Column6]=$D$6)),"ABSENT")</f>
        <v>0.6875</v>
      </c>
      <c r="H12" s="8" t="str" cm="1">
        <f t="array" ref="H12">IFERROR(_xlfn._xlws.FILTER(tblCombinedCSVs[Column5],(tblCombinedCSVs[Column3]=$C12)*(tblCombinedCSVs[Column7]=H$7)*(tblCombinedCSVs[Column6]="09/05/2024")),"ABSENT")</f>
        <v>ABSENT</v>
      </c>
      <c r="I12" s="8" cm="1">
        <f t="array" ref="I12">IFERROR(_xlfn._xlws.FILTER(tblCombinedCSVs[Column5],(tblCombinedCSVs[Column3]=$C12)*(tblCombinedCSVs[Column7]=I$7)*(tblCombinedCSVs[Column6]="09/05/2024")),"ABSENT")</f>
        <v>0.47916666666666669</v>
      </c>
      <c r="J12" s="8" cm="1">
        <f t="array" ref="J12">IFERROR(_xlfn._xlws.FILTER(tblCombinedCSVs[Column5],(tblCombinedCSVs[Column3]=$C12)*(tblCombinedCSVs[Column7]=J$7)*(tblCombinedCSVs[Column6]="09/05/2024")),"ABSENT")</f>
        <v>0.56458333333333333</v>
      </c>
      <c r="K12" s="8" t="str" cm="1">
        <f t="array" ref="K12">IFERROR(_xlfn._xlws.FILTER(tblCombinedCSVs[Column5],(tblCombinedCSVs[Column3]=$C12)*(tblCombinedCSVs[Column7]=K$7)*(tblCombinedCSVs[Column6]="09/05/2024")),"ABSENT")</f>
        <v>ABSENT</v>
      </c>
      <c r="L12" s="23">
        <f t="shared" si="0"/>
        <v>2</v>
      </c>
      <c r="M12" s="3">
        <f t="shared" si="1"/>
        <v>2</v>
      </c>
      <c r="N12" s="4">
        <f>SUM(PRODUCT(Table2[[#This Row],[Column10]],$N$3),PRODUCT(Table2[[#This Row],[Column11]],$N$4))</f>
        <v>300</v>
      </c>
      <c r="O12" s="17"/>
      <c r="P12" s="18">
        <f t="shared" si="2"/>
        <v>300</v>
      </c>
      <c r="R12">
        <f>IF(OR(Table2[[#This Row],[Column2]]&lt;=$D$4,Table2[[#This Row],[Column2]]="ABSENT"),0,1)</f>
        <v>0</v>
      </c>
      <c r="S12">
        <f>IF(OR(Table2[[#This Row],[Column3]]&lt;=$E$4,Table2[[#This Row],[Column3]]="ABSENT"),0,1)</f>
        <v>0</v>
      </c>
      <c r="T12">
        <f>IF(OR(Table2[[#This Row],[Column4]]&lt;=$F$4,Table2[[#This Row],[Column4]]="ABSENT"),0,1)</f>
        <v>1</v>
      </c>
      <c r="U12">
        <f>IF(OR(Table2[[#This Row],[Column5]]&lt;=$G$4,Table2[[#This Row],[Column5]]="ABSENT"),0,1)</f>
        <v>0</v>
      </c>
      <c r="V12">
        <f>IF(OR(Table2[[#This Row],[Column6]]&lt;=$H$4,Table2[[#This Row],[Column6]]="ABSENT"),0,1)</f>
        <v>0</v>
      </c>
      <c r="W12">
        <f>IF(OR(Table2[[#This Row],[Column7]]&lt;=$I$4,Table2[[#This Row],[Column7]]="ABSENT"),0,1)</f>
        <v>0</v>
      </c>
      <c r="X12">
        <f>IF(OR(Table2[[#This Row],[Column8]]&lt;=$J$4,Table2[[#This Row],[Column8]]="ABSENT"),0,1)</f>
        <v>1</v>
      </c>
      <c r="Y12">
        <f>IF(OR(Table2[[#This Row],[Column9]]&lt;=$K$4,Table2[[#This Row],[Column9]]="ABSENT"),0,1)</f>
        <v>0</v>
      </c>
    </row>
    <row r="13" spans="3:25">
      <c r="C13" s="10" t="s">
        <v>26</v>
      </c>
      <c r="D13" s="7" cm="1">
        <f t="array" ref="D13">IFERROR(_xlfn._xlws.FILTER(tblCombinedCSVs[Column5],(tblCombinedCSVs[Column3]=$C13)*(tblCombinedCSVs[Column7]=D$7)*(tblCombinedCSVs[Column6]=$D$6)),"ABSENT")</f>
        <v>0.3125</v>
      </c>
      <c r="E13" s="7" cm="1">
        <f t="array" ref="E13">IFERROR(_xlfn._xlws.FILTER(tblCombinedCSVs[Column5],(tblCombinedCSVs[Column3]=$C13)*(tblCombinedCSVs[Column7]=E$7)*(tblCombinedCSVs[Column6]=$D$6)),"ABSENT")</f>
        <v>0.47916666666666669</v>
      </c>
      <c r="F13" s="7" cm="1">
        <f t="array" ref="F13">IFERROR(_xlfn._xlws.FILTER(tblCombinedCSVs[Column5],(tblCombinedCSVs[Column3]=$C13)*(tblCombinedCSVs[Column7]=F$7)*(tblCombinedCSVs[Column6]=$D$6)),"ABSENT")</f>
        <v>0.56458333333333333</v>
      </c>
      <c r="G13" s="7" cm="1">
        <f t="array" ref="G13">IFERROR(_xlfn._xlws.FILTER(tblCombinedCSVs[Column5],(tblCombinedCSVs[Column3]=$C13)*(tblCombinedCSVs[Column7]=G$7)*(tblCombinedCSVs[Column6]=$D$6)),"ABSENT")</f>
        <v>0.6875</v>
      </c>
      <c r="H13" s="8" t="str" cm="1">
        <f t="array" ref="H13">IFERROR(_xlfn._xlws.FILTER(tblCombinedCSVs[Column5],(tblCombinedCSVs[Column3]=$C13)*(tblCombinedCSVs[Column7]=H$7)*(tblCombinedCSVs[Column6]="09/05/2024")),"ABSENT")</f>
        <v>ABSENT</v>
      </c>
      <c r="I13" s="8" t="str" cm="1">
        <f t="array" ref="I13">IFERROR(_xlfn._xlws.FILTER(tblCombinedCSVs[Column5],(tblCombinedCSVs[Column3]=$C13)*(tblCombinedCSVs[Column7]=I$7)*(tblCombinedCSVs[Column6]="09/05/2024")),"ABSENT")</f>
        <v>ABSENT</v>
      </c>
      <c r="J13" s="8" cm="1">
        <f t="array" ref="J13">IFERROR(_xlfn._xlws.FILTER(tblCombinedCSVs[Column5],(tblCombinedCSVs[Column3]=$C13)*(tblCombinedCSVs[Column7]=J$7)*(tblCombinedCSVs[Column6]="09/05/2024")),"ABSENT")</f>
        <v>0.56458333333333333</v>
      </c>
      <c r="K13" s="8" t="str" cm="1">
        <f t="array" ref="K13">IFERROR(_xlfn._xlws.FILTER(tblCombinedCSVs[Column5],(tblCombinedCSVs[Column3]=$C13)*(tblCombinedCSVs[Column7]=K$7)*(tblCombinedCSVs[Column6]="09/05/2024")),"ABSENT")</f>
        <v>ABSENT</v>
      </c>
      <c r="L13" s="23">
        <f t="shared" si="0"/>
        <v>2</v>
      </c>
      <c r="M13" s="3">
        <f t="shared" si="1"/>
        <v>3</v>
      </c>
      <c r="N13" s="4">
        <f>SUM(PRODUCT(Table2[[#This Row],[Column10]],$N$3),PRODUCT(Table2[[#This Row],[Column11]],$N$4))</f>
        <v>400</v>
      </c>
      <c r="O13" s="17"/>
      <c r="P13" s="18">
        <f t="shared" si="2"/>
        <v>400</v>
      </c>
      <c r="R13">
        <f>IF(OR(Table2[[#This Row],[Column2]]&lt;=$D$4,Table2[[#This Row],[Column2]]="ABSENT"),0,1)</f>
        <v>0</v>
      </c>
      <c r="S13">
        <f>IF(OR(Table2[[#This Row],[Column3]]&lt;=$E$4,Table2[[#This Row],[Column3]]="ABSENT"),0,1)</f>
        <v>0</v>
      </c>
      <c r="T13">
        <f>IF(OR(Table2[[#This Row],[Column4]]&lt;=$F$4,Table2[[#This Row],[Column4]]="ABSENT"),0,1)</f>
        <v>1</v>
      </c>
      <c r="U13">
        <f>IF(OR(Table2[[#This Row],[Column5]]&lt;=$G$4,Table2[[#This Row],[Column5]]="ABSENT"),0,1)</f>
        <v>0</v>
      </c>
      <c r="V13">
        <f>IF(OR(Table2[[#This Row],[Column6]]&lt;=$H$4,Table2[[#This Row],[Column6]]="ABSENT"),0,1)</f>
        <v>0</v>
      </c>
      <c r="W13">
        <f>IF(OR(Table2[[#This Row],[Column7]]&lt;=$I$4,Table2[[#This Row],[Column7]]="ABSENT"),0,1)</f>
        <v>0</v>
      </c>
      <c r="X13">
        <f>IF(OR(Table2[[#This Row],[Column8]]&lt;=$J$4,Table2[[#This Row],[Column8]]="ABSENT"),0,1)</f>
        <v>1</v>
      </c>
      <c r="Y13">
        <f>IF(OR(Table2[[#This Row],[Column9]]&lt;=$K$4,Table2[[#This Row],[Column9]]="ABSENT"),0,1)</f>
        <v>0</v>
      </c>
    </row>
    <row r="14" spans="3:25">
      <c r="C14" s="10" t="s">
        <v>28</v>
      </c>
      <c r="D14" s="7" cm="1">
        <f t="array" ref="D14">IFERROR(_xlfn._xlws.FILTER(tblCombinedCSVs[Column5],(tblCombinedCSVs[Column3]=$C14)*(tblCombinedCSVs[Column7]=D$7)*(tblCombinedCSVs[Column6]=$D$6)),"ABSENT")</f>
        <v>0.3125</v>
      </c>
      <c r="E14" s="7" cm="1">
        <f t="array" ref="E14">IFERROR(_xlfn._xlws.FILTER(tblCombinedCSVs[Column5],(tblCombinedCSVs[Column3]=$C14)*(tblCombinedCSVs[Column7]=E$7)*(tblCombinedCSVs[Column6]=$D$6)),"ABSENT")</f>
        <v>0.47916666666666669</v>
      </c>
      <c r="F14" s="7" cm="1">
        <f t="array" ref="F14">IFERROR(_xlfn._xlws.FILTER(tblCombinedCSVs[Column5],(tblCombinedCSVs[Column3]=$C14)*(tblCombinedCSVs[Column7]=F$7)*(tblCombinedCSVs[Column6]=$D$6)),"ABSENT")</f>
        <v>0.56458333333333333</v>
      </c>
      <c r="G14" s="7" cm="1">
        <f t="array" ref="G14">IFERROR(_xlfn._xlws.FILTER(tblCombinedCSVs[Column5],(tblCombinedCSVs[Column3]=$C14)*(tblCombinedCSVs[Column7]=G$7)*(tblCombinedCSVs[Column6]=$D$6)),"ABSENT")</f>
        <v>0.6875</v>
      </c>
      <c r="H14" s="8" cm="1">
        <f t="array" ref="H14">IFERROR(_xlfn._xlws.FILTER(tblCombinedCSVs[Column5],(tblCombinedCSVs[Column3]=$C14)*(tblCombinedCSVs[Column7]=H$7)*(tblCombinedCSVs[Column6]="09/05/2024")),"ABSENT")</f>
        <v>0.3125</v>
      </c>
      <c r="I14" s="8" t="str" cm="1">
        <f t="array" ref="I14">IFERROR(_xlfn._xlws.FILTER(tblCombinedCSVs[Column5],(tblCombinedCSVs[Column3]=$C14)*(tblCombinedCSVs[Column7]=I$7)*(tblCombinedCSVs[Column6]="09/05/2024")),"ABSENT")</f>
        <v>ABSENT</v>
      </c>
      <c r="J14" s="8" cm="1">
        <f t="array" ref="J14">IFERROR(_xlfn._xlws.FILTER(tblCombinedCSVs[Column5],(tblCombinedCSVs[Column3]=$C14)*(tblCombinedCSVs[Column7]=J$7)*(tblCombinedCSVs[Column6]="09/05/2024")),"ABSENT")</f>
        <v>0.56458333333333333</v>
      </c>
      <c r="K14" s="8" t="str" cm="1">
        <f t="array" ref="K14">IFERROR(_xlfn._xlws.FILTER(tblCombinedCSVs[Column5],(tblCombinedCSVs[Column3]=$C14)*(tblCombinedCSVs[Column7]=K$7)*(tblCombinedCSVs[Column6]="09/05/2024")),"ABSENT")</f>
        <v>ABSENT</v>
      </c>
      <c r="L14" s="23">
        <f t="shared" si="0"/>
        <v>2</v>
      </c>
      <c r="M14" s="3">
        <f t="shared" si="1"/>
        <v>2</v>
      </c>
      <c r="N14" s="4">
        <f>SUM(PRODUCT(Table2[[#This Row],[Column10]],$N$3),PRODUCT(Table2[[#This Row],[Column11]],$N$4))</f>
        <v>300</v>
      </c>
      <c r="O14" s="17"/>
      <c r="P14" s="18">
        <f t="shared" si="2"/>
        <v>300</v>
      </c>
      <c r="R14">
        <f>IF(OR(Table2[[#This Row],[Column2]]&lt;=$D$4,Table2[[#This Row],[Column2]]="ABSENT"),0,1)</f>
        <v>0</v>
      </c>
      <c r="S14">
        <f>IF(OR(Table2[[#This Row],[Column3]]&lt;=$E$4,Table2[[#This Row],[Column3]]="ABSENT"),0,1)</f>
        <v>0</v>
      </c>
      <c r="T14">
        <f>IF(OR(Table2[[#This Row],[Column4]]&lt;=$F$4,Table2[[#This Row],[Column4]]="ABSENT"),0,1)</f>
        <v>1</v>
      </c>
      <c r="U14">
        <f>IF(OR(Table2[[#This Row],[Column5]]&lt;=$G$4,Table2[[#This Row],[Column5]]="ABSENT"),0,1)</f>
        <v>0</v>
      </c>
      <c r="V14">
        <f>IF(OR(Table2[[#This Row],[Column6]]&lt;=$H$4,Table2[[#This Row],[Column6]]="ABSENT"),0,1)</f>
        <v>0</v>
      </c>
      <c r="W14">
        <f>IF(OR(Table2[[#This Row],[Column7]]&lt;=$I$4,Table2[[#This Row],[Column7]]="ABSENT"),0,1)</f>
        <v>0</v>
      </c>
      <c r="X14">
        <f>IF(OR(Table2[[#This Row],[Column8]]&lt;=$J$4,Table2[[#This Row],[Column8]]="ABSENT"),0,1)</f>
        <v>1</v>
      </c>
      <c r="Y14">
        <f>IF(OR(Table2[[#This Row],[Column9]]&lt;=$K$4,Table2[[#This Row],[Column9]]="ABSENT"),0,1)</f>
        <v>0</v>
      </c>
    </row>
    <row r="15" spans="3:25">
      <c r="C15" s="10" t="s">
        <v>30</v>
      </c>
      <c r="D15" s="7" cm="1">
        <f t="array" ref="D15">IFERROR(_xlfn._xlws.FILTER(tblCombinedCSVs[Column5],(tblCombinedCSVs[Column3]=$C15)*(tblCombinedCSVs[Column7]=D$7)*(tblCombinedCSVs[Column6]=$D$6)),"ABSENT")</f>
        <v>0.3125</v>
      </c>
      <c r="E15" s="7" cm="1">
        <f t="array" ref="E15">IFERROR(_xlfn._xlws.FILTER(tblCombinedCSVs[Column5],(tblCombinedCSVs[Column3]=$C15)*(tblCombinedCSVs[Column7]=E$7)*(tblCombinedCSVs[Column6]=$D$6)),"ABSENT")</f>
        <v>0.47916666666666669</v>
      </c>
      <c r="F15" s="7" cm="1">
        <f t="array" ref="F15">IFERROR(_xlfn._xlws.FILTER(tblCombinedCSVs[Column5],(tblCombinedCSVs[Column3]=$C15)*(tblCombinedCSVs[Column7]=F$7)*(tblCombinedCSVs[Column6]=$D$6)),"ABSENT")</f>
        <v>0.56458333333333333</v>
      </c>
      <c r="G15" s="7" cm="1">
        <f t="array" ref="G15">IFERROR(_xlfn._xlws.FILTER(tblCombinedCSVs[Column5],(tblCombinedCSVs[Column3]=$C15)*(tblCombinedCSVs[Column7]=G$7)*(tblCombinedCSVs[Column6]=$D$6)),"ABSENT")</f>
        <v>0.6875</v>
      </c>
      <c r="H15" s="8" cm="1">
        <f t="array" ref="H15">IFERROR(_xlfn._xlws.FILTER(tblCombinedCSVs[Column5],(tblCombinedCSVs[Column3]=$C15)*(tblCombinedCSVs[Column7]=H$7)*(tblCombinedCSVs[Column6]="09/05/2024")),"ABSENT")</f>
        <v>0.3125</v>
      </c>
      <c r="I15" s="8" t="str" cm="1">
        <f t="array" ref="I15">IFERROR(_xlfn._xlws.FILTER(tblCombinedCSVs[Column5],(tblCombinedCSVs[Column3]=$C15)*(tblCombinedCSVs[Column7]=I$7)*(tblCombinedCSVs[Column6]="09/05/2024")),"ABSENT")</f>
        <v>ABSENT</v>
      </c>
      <c r="J15" s="8" cm="1">
        <f t="array" ref="J15">IFERROR(_xlfn._xlws.FILTER(tblCombinedCSVs[Column5],(tblCombinedCSVs[Column3]=$C15)*(tblCombinedCSVs[Column7]=J$7)*(tblCombinedCSVs[Column6]="09/05/2024")),"ABSENT")</f>
        <v>0.56458333333333333</v>
      </c>
      <c r="K15" s="8" t="str" cm="1">
        <f t="array" ref="K15">IFERROR(_xlfn._xlws.FILTER(tblCombinedCSVs[Column5],(tblCombinedCSVs[Column3]=$C15)*(tblCombinedCSVs[Column7]=K$7)*(tblCombinedCSVs[Column6]="09/05/2024")),"ABSENT")</f>
        <v>ABSENT</v>
      </c>
      <c r="L15" s="23">
        <f t="shared" si="0"/>
        <v>2</v>
      </c>
      <c r="M15" s="3">
        <f t="shared" si="1"/>
        <v>2</v>
      </c>
      <c r="N15" s="4">
        <f>SUM(PRODUCT(Table2[[#This Row],[Column10]],$N$3),PRODUCT(Table2[[#This Row],[Column11]],$N$4))</f>
        <v>300</v>
      </c>
      <c r="O15" s="17"/>
      <c r="P15" s="18">
        <f t="shared" si="2"/>
        <v>300</v>
      </c>
      <c r="R15">
        <f>IF(OR(Table2[[#This Row],[Column2]]&lt;=$D$4,Table2[[#This Row],[Column2]]="ABSENT"),0,1)</f>
        <v>0</v>
      </c>
      <c r="S15">
        <f>IF(OR(Table2[[#This Row],[Column3]]&lt;=$E$4,Table2[[#This Row],[Column3]]="ABSENT"),0,1)</f>
        <v>0</v>
      </c>
      <c r="T15">
        <f>IF(OR(Table2[[#This Row],[Column4]]&lt;=$F$4,Table2[[#This Row],[Column4]]="ABSENT"),0,1)</f>
        <v>1</v>
      </c>
      <c r="U15">
        <f>IF(OR(Table2[[#This Row],[Column5]]&lt;=$G$4,Table2[[#This Row],[Column5]]="ABSENT"),0,1)</f>
        <v>0</v>
      </c>
      <c r="V15">
        <f>IF(OR(Table2[[#This Row],[Column6]]&lt;=$H$4,Table2[[#This Row],[Column6]]="ABSENT"),0,1)</f>
        <v>0</v>
      </c>
      <c r="W15">
        <f>IF(OR(Table2[[#This Row],[Column7]]&lt;=$I$4,Table2[[#This Row],[Column7]]="ABSENT"),0,1)</f>
        <v>0</v>
      </c>
      <c r="X15">
        <f>IF(OR(Table2[[#This Row],[Column8]]&lt;=$J$4,Table2[[#This Row],[Column8]]="ABSENT"),0,1)</f>
        <v>1</v>
      </c>
      <c r="Y15">
        <f>IF(OR(Table2[[#This Row],[Column9]]&lt;=$K$4,Table2[[#This Row],[Column9]]="ABSENT"),0,1)</f>
        <v>0</v>
      </c>
    </row>
    <row r="16" spans="3:25">
      <c r="C16" s="10" t="s">
        <v>32</v>
      </c>
      <c r="D16" s="7" cm="1">
        <f t="array" ref="D16">IFERROR(_xlfn._xlws.FILTER(tblCombinedCSVs[Column5],(tblCombinedCSVs[Column3]=$C16)*(tblCombinedCSVs[Column7]=D$7)*(tblCombinedCSVs[Column6]=$D$6)),"ABSENT")</f>
        <v>0.3125</v>
      </c>
      <c r="E16" s="7" cm="1">
        <f t="array" ref="E16">IFERROR(_xlfn._xlws.FILTER(tblCombinedCSVs[Column5],(tblCombinedCSVs[Column3]=$C16)*(tblCombinedCSVs[Column7]=E$7)*(tblCombinedCSVs[Column6]=$D$6)),"ABSENT")</f>
        <v>0.47916666666666669</v>
      </c>
      <c r="F16" s="7" cm="1">
        <f t="array" ref="F16">IFERROR(_xlfn._xlws.FILTER(tblCombinedCSVs[Column5],(tblCombinedCSVs[Column3]=$C16)*(tblCombinedCSVs[Column7]=F$7)*(tblCombinedCSVs[Column6]=$D$6)),"ABSENT")</f>
        <v>0.56527777777777777</v>
      </c>
      <c r="G16" s="7" cm="1">
        <f t="array" ref="G16">IFERROR(_xlfn._xlws.FILTER(tblCombinedCSVs[Column5],(tblCombinedCSVs[Column3]=$C16)*(tblCombinedCSVs[Column7]=G$7)*(tblCombinedCSVs[Column6]=$D$6)),"ABSENT")</f>
        <v>0.6875</v>
      </c>
      <c r="H16" s="8" cm="1">
        <f t="array" ref="H16">IFERROR(_xlfn._xlws.FILTER(tblCombinedCSVs[Column5],(tblCombinedCSVs[Column3]=$C16)*(tblCombinedCSVs[Column7]=H$7)*(tblCombinedCSVs[Column6]="09/05/2024")),"ABSENT")</f>
        <v>0.3125</v>
      </c>
      <c r="I16" s="8" t="str" cm="1">
        <f t="array" ref="I16">IFERROR(_xlfn._xlws.FILTER(tblCombinedCSVs[Column5],(tblCombinedCSVs[Column3]=$C16)*(tblCombinedCSVs[Column7]=I$7)*(tblCombinedCSVs[Column6]="09/05/2024")),"ABSENT")</f>
        <v>ABSENT</v>
      </c>
      <c r="J16" s="8" cm="1">
        <f t="array" ref="J16">IFERROR(_xlfn._xlws.FILTER(tblCombinedCSVs[Column5],(tblCombinedCSVs[Column3]=$C16)*(tblCombinedCSVs[Column7]=J$7)*(tblCombinedCSVs[Column6]="09/05/2024")),"ABSENT")</f>
        <v>0.56527777777777777</v>
      </c>
      <c r="K16" s="8" t="str" cm="1">
        <f t="array" ref="K16">IFERROR(_xlfn._xlws.FILTER(tblCombinedCSVs[Column5],(tblCombinedCSVs[Column3]=$C16)*(tblCombinedCSVs[Column7]=K$7)*(tblCombinedCSVs[Column6]="09/05/2024")),"ABSENT")</f>
        <v>ABSENT</v>
      </c>
      <c r="L16" s="23">
        <f t="shared" si="0"/>
        <v>2</v>
      </c>
      <c r="M16" s="3">
        <f t="shared" si="1"/>
        <v>2</v>
      </c>
      <c r="N16" s="4">
        <f>SUM(PRODUCT(Table2[[#This Row],[Column10]],$N$3),PRODUCT(Table2[[#This Row],[Column11]],$N$4))</f>
        <v>300</v>
      </c>
      <c r="O16" s="17"/>
      <c r="P16" s="18">
        <f t="shared" si="2"/>
        <v>300</v>
      </c>
      <c r="R16">
        <f>IF(OR(Table2[[#This Row],[Column2]]&lt;=$D$4,Table2[[#This Row],[Column2]]="ABSENT"),0,1)</f>
        <v>0</v>
      </c>
      <c r="S16">
        <f>IF(OR(Table2[[#This Row],[Column3]]&lt;=$E$4,Table2[[#This Row],[Column3]]="ABSENT"),0,1)</f>
        <v>0</v>
      </c>
      <c r="T16">
        <f>IF(OR(Table2[[#This Row],[Column4]]&lt;=$F$4,Table2[[#This Row],[Column4]]="ABSENT"),0,1)</f>
        <v>1</v>
      </c>
      <c r="U16">
        <f>IF(OR(Table2[[#This Row],[Column5]]&lt;=$G$4,Table2[[#This Row],[Column5]]="ABSENT"),0,1)</f>
        <v>0</v>
      </c>
      <c r="V16">
        <f>IF(OR(Table2[[#This Row],[Column6]]&lt;=$H$4,Table2[[#This Row],[Column6]]="ABSENT"),0,1)</f>
        <v>0</v>
      </c>
      <c r="W16">
        <f>IF(OR(Table2[[#This Row],[Column7]]&lt;=$I$4,Table2[[#This Row],[Column7]]="ABSENT"),0,1)</f>
        <v>0</v>
      </c>
      <c r="X16">
        <f>IF(OR(Table2[[#This Row],[Column8]]&lt;=$J$4,Table2[[#This Row],[Column8]]="ABSENT"),0,1)</f>
        <v>1</v>
      </c>
      <c r="Y16">
        <f>IF(OR(Table2[[#This Row],[Column9]]&lt;=$K$4,Table2[[#This Row],[Column9]]="ABSENT"),0,1)</f>
        <v>0</v>
      </c>
    </row>
    <row r="17" spans="3:25">
      <c r="C17" s="10" t="s">
        <v>34</v>
      </c>
      <c r="D17" s="7" cm="1">
        <f t="array" ref="D17">IFERROR(_xlfn._xlws.FILTER(tblCombinedCSVs[Column5],(tblCombinedCSVs[Column3]=$C17)*(tblCombinedCSVs[Column7]=D$7)*(tblCombinedCSVs[Column6]=$D$6)),"ABSENT")</f>
        <v>0.3125</v>
      </c>
      <c r="E17" s="7" cm="1">
        <f t="array" ref="E17">IFERROR(_xlfn._xlws.FILTER(tblCombinedCSVs[Column5],(tblCombinedCSVs[Column3]=$C17)*(tblCombinedCSVs[Column7]=E$7)*(tblCombinedCSVs[Column6]=$D$6)),"ABSENT")</f>
        <v>0.47916666666666669</v>
      </c>
      <c r="F17" s="7" cm="1">
        <f t="array" ref="F17">IFERROR(_xlfn._xlws.FILTER(tblCombinedCSVs[Column5],(tblCombinedCSVs[Column3]=$C17)*(tblCombinedCSVs[Column7]=F$7)*(tblCombinedCSVs[Column6]=$D$6)),"ABSENT")</f>
        <v>0.56527777777777777</v>
      </c>
      <c r="G17" s="7" cm="1">
        <f t="array" ref="G17">IFERROR(_xlfn._xlws.FILTER(tblCombinedCSVs[Column5],(tblCombinedCSVs[Column3]=$C17)*(tblCombinedCSVs[Column7]=G$7)*(tblCombinedCSVs[Column6]=$D$6)),"ABSENT")</f>
        <v>0.6875</v>
      </c>
      <c r="H17" s="8" cm="1">
        <f t="array" ref="H17">IFERROR(_xlfn._xlws.FILTER(tblCombinedCSVs[Column5],(tblCombinedCSVs[Column3]=$C17)*(tblCombinedCSVs[Column7]=H$7)*(tblCombinedCSVs[Column6]="09/05/2024")),"ABSENT")</f>
        <v>0.3125</v>
      </c>
      <c r="I17" s="8" t="str" cm="1">
        <f t="array" ref="I17">IFERROR(_xlfn._xlws.FILTER(tblCombinedCSVs[Column5],(tblCombinedCSVs[Column3]=$C17)*(tblCombinedCSVs[Column7]=I$7)*(tblCombinedCSVs[Column6]="09/05/2024")),"ABSENT")</f>
        <v>ABSENT</v>
      </c>
      <c r="J17" s="8" cm="1">
        <f t="array" ref="J17">IFERROR(_xlfn._xlws.FILTER(tblCombinedCSVs[Column5],(tblCombinedCSVs[Column3]=$C17)*(tblCombinedCSVs[Column7]=J$7)*(tblCombinedCSVs[Column6]="09/05/2024")),"ABSENT")</f>
        <v>0.56527777777777777</v>
      </c>
      <c r="K17" s="8" t="str" cm="1">
        <f t="array" ref="K17">IFERROR(_xlfn._xlws.FILTER(tblCombinedCSVs[Column5],(tblCombinedCSVs[Column3]=$C17)*(tblCombinedCSVs[Column7]=K$7)*(tblCombinedCSVs[Column6]="09/05/2024")),"ABSENT")</f>
        <v>ABSENT</v>
      </c>
      <c r="L17" s="23">
        <f t="shared" si="0"/>
        <v>2</v>
      </c>
      <c r="M17" s="3">
        <f t="shared" si="1"/>
        <v>2</v>
      </c>
      <c r="N17" s="4">
        <f>SUM(PRODUCT(Table2[[#This Row],[Column10]],$N$3),PRODUCT(Table2[[#This Row],[Column11]],$N$4))</f>
        <v>300</v>
      </c>
      <c r="O17" s="17"/>
      <c r="P17" s="18">
        <f t="shared" si="2"/>
        <v>300</v>
      </c>
      <c r="R17">
        <f>IF(OR(Table2[[#This Row],[Column2]]&lt;=$D$4,Table2[[#This Row],[Column2]]="ABSENT"),0,1)</f>
        <v>0</v>
      </c>
      <c r="S17">
        <f>IF(OR(Table2[[#This Row],[Column3]]&lt;=$E$4,Table2[[#This Row],[Column3]]="ABSENT"),0,1)</f>
        <v>0</v>
      </c>
      <c r="T17">
        <f>IF(OR(Table2[[#This Row],[Column4]]&lt;=$F$4,Table2[[#This Row],[Column4]]="ABSENT"),0,1)</f>
        <v>1</v>
      </c>
      <c r="U17">
        <f>IF(OR(Table2[[#This Row],[Column5]]&lt;=$G$4,Table2[[#This Row],[Column5]]="ABSENT"),0,1)</f>
        <v>0</v>
      </c>
      <c r="V17">
        <f>IF(OR(Table2[[#This Row],[Column6]]&lt;=$H$4,Table2[[#This Row],[Column6]]="ABSENT"),0,1)</f>
        <v>0</v>
      </c>
      <c r="W17">
        <f>IF(OR(Table2[[#This Row],[Column7]]&lt;=$I$4,Table2[[#This Row],[Column7]]="ABSENT"),0,1)</f>
        <v>0</v>
      </c>
      <c r="X17">
        <f>IF(OR(Table2[[#This Row],[Column8]]&lt;=$J$4,Table2[[#This Row],[Column8]]="ABSENT"),0,1)</f>
        <v>1</v>
      </c>
      <c r="Y17">
        <f>IF(OR(Table2[[#This Row],[Column9]]&lt;=$K$4,Table2[[#This Row],[Column9]]="ABSENT"),0,1)</f>
        <v>0</v>
      </c>
    </row>
    <row r="18" spans="3:25">
      <c r="C18" s="10" t="s">
        <v>36</v>
      </c>
      <c r="D18" s="7" cm="1">
        <f t="array" ref="D18">IFERROR(_xlfn._xlws.FILTER(tblCombinedCSVs[Column5],(tblCombinedCSVs[Column3]=$C18)*(tblCombinedCSVs[Column7]=D$7)*(tblCombinedCSVs[Column6]=$D$6)),"ABSENT")</f>
        <v>0.3125</v>
      </c>
      <c r="E18" s="7" cm="1">
        <f t="array" ref="E18">IFERROR(_xlfn._xlws.FILTER(tblCombinedCSVs[Column5],(tblCombinedCSVs[Column3]=$C18)*(tblCombinedCSVs[Column7]=E$7)*(tblCombinedCSVs[Column6]=$D$6)),"ABSENT")</f>
        <v>0.47916666666666669</v>
      </c>
      <c r="F18" s="7" cm="1">
        <f t="array" ref="F18">IFERROR(_xlfn._xlws.FILTER(tblCombinedCSVs[Column5],(tblCombinedCSVs[Column3]=$C18)*(tblCombinedCSVs[Column7]=F$7)*(tblCombinedCSVs[Column6]=$D$6)),"ABSENT")</f>
        <v>0.56527777777777777</v>
      </c>
      <c r="G18" s="7" cm="1">
        <f t="array" ref="G18">IFERROR(_xlfn._xlws.FILTER(tblCombinedCSVs[Column5],(tblCombinedCSVs[Column3]=$C18)*(tblCombinedCSVs[Column7]=G$7)*(tblCombinedCSVs[Column6]=$D$6)),"ABSENT")</f>
        <v>0.6875</v>
      </c>
      <c r="H18" s="8" cm="1">
        <f t="array" ref="H18">IFERROR(_xlfn._xlws.FILTER(tblCombinedCSVs[Column5],(tblCombinedCSVs[Column3]=$C18)*(tblCombinedCSVs[Column7]=H$7)*(tblCombinedCSVs[Column6]="09/05/2024")),"ABSENT")</f>
        <v>0.3125</v>
      </c>
      <c r="I18" s="8" cm="1">
        <f t="array" ref="I18">IFERROR(_xlfn._xlws.FILTER(tblCombinedCSVs[Column5],(tblCombinedCSVs[Column3]=$C18)*(tblCombinedCSVs[Column7]=I$7)*(tblCombinedCSVs[Column6]="09/05/2024")),"ABSENT")</f>
        <v>0.47916666666666669</v>
      </c>
      <c r="J18" s="8" cm="1">
        <f t="array" ref="J18">IFERROR(_xlfn._xlws.FILTER(tblCombinedCSVs[Column5],(tblCombinedCSVs[Column3]=$C18)*(tblCombinedCSVs[Column7]=J$7)*(tblCombinedCSVs[Column6]="09/05/2024")),"ABSENT")</f>
        <v>0.56527777777777777</v>
      </c>
      <c r="K18" s="8" t="str" cm="1">
        <f t="array" ref="K18">IFERROR(_xlfn._xlws.FILTER(tblCombinedCSVs[Column5],(tblCombinedCSVs[Column3]=$C18)*(tblCombinedCSVs[Column7]=K$7)*(tblCombinedCSVs[Column6]="09/05/2024")),"ABSENT")</f>
        <v>ABSENT</v>
      </c>
      <c r="L18" s="23">
        <f t="shared" si="0"/>
        <v>2</v>
      </c>
      <c r="M18" s="3">
        <f t="shared" si="1"/>
        <v>1</v>
      </c>
      <c r="N18" s="4">
        <f>SUM(PRODUCT(Table2[[#This Row],[Column10]],$N$3),PRODUCT(Table2[[#This Row],[Column11]],$N$4))</f>
        <v>200</v>
      </c>
      <c r="O18" s="17"/>
      <c r="P18" s="18">
        <f t="shared" si="2"/>
        <v>200</v>
      </c>
      <c r="R18">
        <f>IF(OR(Table2[[#This Row],[Column2]]&lt;=$D$4,Table2[[#This Row],[Column2]]="ABSENT"),0,1)</f>
        <v>0</v>
      </c>
      <c r="S18">
        <f>IF(OR(Table2[[#This Row],[Column3]]&lt;=$E$4,Table2[[#This Row],[Column3]]="ABSENT"),0,1)</f>
        <v>0</v>
      </c>
      <c r="T18">
        <f>IF(OR(Table2[[#This Row],[Column4]]&lt;=$F$4,Table2[[#This Row],[Column4]]="ABSENT"),0,1)</f>
        <v>1</v>
      </c>
      <c r="U18">
        <f>IF(OR(Table2[[#This Row],[Column5]]&lt;=$G$4,Table2[[#This Row],[Column5]]="ABSENT"),0,1)</f>
        <v>0</v>
      </c>
      <c r="V18">
        <f>IF(OR(Table2[[#This Row],[Column6]]&lt;=$H$4,Table2[[#This Row],[Column6]]="ABSENT"),0,1)</f>
        <v>0</v>
      </c>
      <c r="W18">
        <f>IF(OR(Table2[[#This Row],[Column7]]&lt;=$I$4,Table2[[#This Row],[Column7]]="ABSENT"),0,1)</f>
        <v>0</v>
      </c>
      <c r="X18">
        <f>IF(OR(Table2[[#This Row],[Column8]]&lt;=$J$4,Table2[[#This Row],[Column8]]="ABSENT"),0,1)</f>
        <v>1</v>
      </c>
      <c r="Y18">
        <f>IF(OR(Table2[[#This Row],[Column9]]&lt;=$K$4,Table2[[#This Row],[Column9]]="ABSENT"),0,1)</f>
        <v>0</v>
      </c>
    </row>
    <row r="25" spans="3:25">
      <c r="G25" s="24"/>
      <c r="H25" s="24"/>
    </row>
  </sheetData>
  <mergeCells count="6">
    <mergeCell ref="D6:G6"/>
    <mergeCell ref="H6:K6"/>
    <mergeCell ref="M6:M7"/>
    <mergeCell ref="O6:O7"/>
    <mergeCell ref="P6:P7"/>
    <mergeCell ref="L6:L7"/>
  </mergeCells>
  <phoneticPr fontId="18" type="noConversion"/>
  <conditionalFormatting sqref="D9:D18">
    <cfRule type="cellIs" dxfId="7" priority="8" operator="greaterThan">
      <formula>$D$4</formula>
    </cfRule>
  </conditionalFormatting>
  <conditionalFormatting sqref="E9:E18">
    <cfRule type="cellIs" dxfId="6" priority="7" operator="greaterThan">
      <formula>$E$4</formula>
    </cfRule>
  </conditionalFormatting>
  <conditionalFormatting sqref="F9:F18">
    <cfRule type="cellIs" dxfId="5" priority="6" operator="greaterThan">
      <formula>$F$4</formula>
    </cfRule>
  </conditionalFormatting>
  <conditionalFormatting sqref="G9:G18">
    <cfRule type="cellIs" dxfId="4" priority="5" operator="greaterThan">
      <formula>$G$4</formula>
    </cfRule>
  </conditionalFormatting>
  <conditionalFormatting sqref="H9:H18">
    <cfRule type="cellIs" dxfId="3" priority="4" operator="greaterThan">
      <formula>$H$4</formula>
    </cfRule>
  </conditionalFormatting>
  <conditionalFormatting sqref="I9:I18">
    <cfRule type="cellIs" dxfId="2" priority="3" operator="greaterThan">
      <formula>$I$4</formula>
    </cfRule>
  </conditionalFormatting>
  <conditionalFormatting sqref="J9:J18">
    <cfRule type="cellIs" dxfId="1" priority="2" operator="greaterThan">
      <formula>$J$4</formula>
    </cfRule>
  </conditionalFormatting>
  <conditionalFormatting sqref="K9:K18">
    <cfRule type="cellIs" dxfId="0" priority="1" operator="greaterThan">
      <formula>$K$4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CED7E1-1A95-49A3-96F3-30D206DD59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combinedCSVs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 Lou Galinato</dc:creator>
  <cp:lastModifiedBy>didoy jamon</cp:lastModifiedBy>
  <dcterms:modified xsi:type="dcterms:W3CDTF">2024-05-10T01:15:48Z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2024-05-09T03:40:48Z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614d1869-45d7-456e-b99b-f0def5d5d2b1</vt:lpwstr>
  </property>
  <property fmtid="{D5CDD505-2E9C-101B-9397-08002B2CF9AE}" pid="7" name="MSIP_Label_defa4170-0d19-0005-0004-bc88714345d2_ActionId">
    <vt:lpwstr>5315392d-4c2c-4156-a86c-77792104ed68</vt:lpwstr>
  </property>
  <property fmtid="{D5CDD505-2E9C-101B-9397-08002B2CF9AE}" pid="8" name="MSIP_Label_defa4170-0d19-0005-0004-bc88714345d2_ContentBits">
    <vt:lpwstr>0</vt:lpwstr>
  </property>
</Properties>
</file>